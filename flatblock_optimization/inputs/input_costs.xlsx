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yuen/Desktop/IECC/industrial_decarb/industrial_facilities_db/fob/inputs/"/>
    </mc:Choice>
  </mc:AlternateContent>
  <xr:revisionPtr revIDLastSave="0" documentId="13_ncr:1_{6DEDADDA-DA79-EA42-A2CF-0B1F3C653AE1}" xr6:coauthVersionLast="47" xr6:coauthVersionMax="47" xr10:uidLastSave="{00000000-0000-0000-0000-000000000000}"/>
  <bookViews>
    <workbookView xWindow="0" yWindow="720" windowWidth="29400" windowHeight="18400" activeTab="1" xr2:uid="{AD69A6D4-5D53-8E4F-8FD1-ED69BDCAEECB}"/>
  </bookViews>
  <sheets>
    <sheet name="Sheet1" sheetId="1" r:id="rId1"/>
    <sheet name="2025US$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H16" i="2"/>
  <c r="I16" i="2"/>
  <c r="J16" i="2"/>
  <c r="K16" i="2"/>
  <c r="L16" i="2"/>
  <c r="M16" i="2"/>
  <c r="N16" i="2"/>
  <c r="O16" i="2"/>
  <c r="P16" i="2"/>
  <c r="Q16" i="2"/>
  <c r="R16" i="2"/>
  <c r="F16" i="2"/>
  <c r="G14" i="2"/>
  <c r="H14" i="2"/>
  <c r="I14" i="2"/>
  <c r="I15" i="2" s="1"/>
  <c r="J14" i="2"/>
  <c r="K14" i="2"/>
  <c r="K15" i="2" s="1"/>
  <c r="L14" i="2"/>
  <c r="M14" i="2"/>
  <c r="M15" i="2" s="1"/>
  <c r="N14" i="2"/>
  <c r="O14" i="2"/>
  <c r="P14" i="2"/>
  <c r="Q14" i="2"/>
  <c r="R14" i="2"/>
  <c r="F14" i="2"/>
  <c r="G13" i="2"/>
  <c r="H13" i="2"/>
  <c r="I13" i="2"/>
  <c r="J13" i="2"/>
  <c r="J15" i="2" s="1"/>
  <c r="K13" i="2"/>
  <c r="L13" i="2"/>
  <c r="M13" i="2"/>
  <c r="N13" i="2"/>
  <c r="O13" i="2"/>
  <c r="P13" i="2"/>
  <c r="Q13" i="2"/>
  <c r="Q15" i="2" s="1"/>
  <c r="R13" i="2"/>
  <c r="R15" i="2" s="1"/>
  <c r="F13" i="2"/>
  <c r="G12" i="2"/>
  <c r="H12" i="2"/>
  <c r="I12" i="2"/>
  <c r="J12" i="2"/>
  <c r="K12" i="2"/>
  <c r="L12" i="2"/>
  <c r="M12" i="2"/>
  <c r="N12" i="2"/>
  <c r="O12" i="2"/>
  <c r="P12" i="2"/>
  <c r="Q12" i="2"/>
  <c r="R12" i="2"/>
  <c r="F12" i="2"/>
  <c r="G10" i="2"/>
  <c r="H10" i="2"/>
  <c r="I10" i="2"/>
  <c r="J10" i="2"/>
  <c r="K10" i="2"/>
  <c r="L10" i="2"/>
  <c r="M10" i="2"/>
  <c r="N10" i="2"/>
  <c r="O10" i="2"/>
  <c r="P10" i="2"/>
  <c r="Q10" i="2"/>
  <c r="R10" i="2"/>
  <c r="F10" i="2"/>
  <c r="G9" i="2"/>
  <c r="H9" i="2"/>
  <c r="I9" i="2"/>
  <c r="J9" i="2"/>
  <c r="K9" i="2"/>
  <c r="L9" i="2"/>
  <c r="M9" i="2"/>
  <c r="N9" i="2"/>
  <c r="O9" i="2"/>
  <c r="P9" i="2"/>
  <c r="Q9" i="2"/>
  <c r="R9" i="2"/>
  <c r="F9" i="2"/>
  <c r="L15" i="2"/>
  <c r="H15" i="2"/>
  <c r="G15" i="2"/>
  <c r="F15" i="2"/>
  <c r="P15" i="2" l="1"/>
  <c r="O15" i="2"/>
  <c r="N15" i="2"/>
  <c r="G15" i="1" l="1"/>
  <c r="H15" i="1"/>
  <c r="I15" i="1"/>
  <c r="J15" i="1"/>
  <c r="K15" i="1"/>
  <c r="L15" i="1"/>
  <c r="M15" i="1"/>
  <c r="N15" i="1"/>
  <c r="O15" i="1"/>
  <c r="P15" i="1"/>
  <c r="Q15" i="1"/>
  <c r="R15" i="1"/>
  <c r="F15" i="1"/>
</calcChain>
</file>

<file path=xl/sharedStrings.xml><?xml version="1.0" encoding="utf-8"?>
<sst xmlns="http://schemas.openxmlformats.org/spreadsheetml/2006/main" count="129" uniqueCount="42">
  <si>
    <t>Year</t>
  </si>
  <si>
    <t>Unit</t>
  </si>
  <si>
    <t>Cost of equity (%)</t>
  </si>
  <si>
    <t>Cost of debt (bps)</t>
  </si>
  <si>
    <t>Debt ratio (%)</t>
  </si>
  <si>
    <t>WACC</t>
  </si>
  <si>
    <t>Economic life (yrs)</t>
  </si>
  <si>
    <t>Capex</t>
  </si>
  <si>
    <t>$/kW</t>
  </si>
  <si>
    <t>Fixed O&amp;M</t>
  </si>
  <si>
    <t>$/MW/yr</t>
  </si>
  <si>
    <t>Rack+pack</t>
  </si>
  <si>
    <t>$/kWh</t>
  </si>
  <si>
    <t>Pack</t>
  </si>
  <si>
    <t>Rack</t>
  </si>
  <si>
    <t>BOS + EMS</t>
  </si>
  <si>
    <t>PCS + EPC + Overhead</t>
  </si>
  <si>
    <t>Solar</t>
  </si>
  <si>
    <t>Financial</t>
  </si>
  <si>
    <t>Storage</t>
  </si>
  <si>
    <t>United States</t>
  </si>
  <si>
    <t>Notes</t>
  </si>
  <si>
    <t>from bnef li battery price survey</t>
  </si>
  <si>
    <t>from bnef energy storage system cost survey 2024</t>
  </si>
  <si>
    <t>24 US$</t>
  </si>
  <si>
    <t>global benchmark, avg of high and low cost scenarios, 4hr duration</t>
  </si>
  <si>
    <t>22 US$</t>
  </si>
  <si>
    <t>Data Source</t>
  </si>
  <si>
    <t>bnef lcoe data viewer tool</t>
  </si>
  <si>
    <t xml:space="preserve">mid scenario </t>
  </si>
  <si>
    <t>2022&gt;25</t>
  </si>
  <si>
    <t>US$ conversion</t>
  </si>
  <si>
    <t>2024-&gt;25</t>
  </si>
  <si>
    <t>global benchmark, avg of high and low cost scenarios, 4hr duration corrected</t>
  </si>
  <si>
    <t>from bnef energy storage system cost survey 2025</t>
  </si>
  <si>
    <t>EPC</t>
  </si>
  <si>
    <t>PCS + Overhead</t>
  </si>
  <si>
    <t>Lithium battery cells</t>
  </si>
  <si>
    <t>shelving, wiring, thermal cells</t>
  </si>
  <si>
    <t>balance of systems, energy management systems</t>
  </si>
  <si>
    <t>engineering, procurement, construction</t>
  </si>
  <si>
    <t>power conversion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</si>
</sst>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>
      <alignment horizontal="center" vertical="center"/>
    </xf>
    <xf numFmtId="0" fontId="4" fillId="0" borderId="0"/>
  </cellStyleXfs>
  <cellXfs count="9">
    <xf numFmtId="0" fontId="0" fillId="0" borderId="0" xfId="0"/>
    <xf numFmtId="1" fontId="0" fillId="0" borderId="0" xfId="0" applyNumberFormat="1"/>
    <xf numFmtId="165" fontId="0" fillId="0" borderId="0" xfId="1" applyNumberFormat="1" applyFont="1"/>
    <xf numFmtId="0" fontId="2" fillId="0" borderId="0" xfId="0" applyFont="1"/>
    <xf numFmtId="9" fontId="0" fillId="0" borderId="0" xfId="2" applyFont="1"/>
    <xf numFmtId="164" fontId="0" fillId="0" borderId="0" xfId="2" applyNumberFormat="1" applyFont="1"/>
    <xf numFmtId="1" fontId="6" fillId="0" borderId="0" xfId="4" applyNumberFormat="1" applyFont="1" applyAlignment="1">
      <alignment horizontal="right"/>
    </xf>
    <xf numFmtId="0" fontId="6" fillId="0" borderId="0" xfId="0" applyFont="1"/>
    <xf numFmtId="165" fontId="0" fillId="0" borderId="0" xfId="1" applyNumberFormat="1" applyFont="1" applyBorder="1"/>
  </cellXfs>
  <cellStyles count="5">
    <cellStyle name="Comma" xfId="1" builtinId="3"/>
    <cellStyle name="Normal" xfId="0" builtinId="0"/>
    <cellStyle name="Normal 2" xfId="4" xr:uid="{B43D05A3-1873-9749-9F4E-7D6C48BA1C98}"/>
    <cellStyle name="Percent" xfId="2" builtinId="5"/>
    <cellStyle name="Table Header 3" xfId="3" xr:uid="{09846828-4AED-6240-93D1-144E3391BE24}"/>
  </cellStyles>
  <dxfs count="4"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02352774112122E-2"/>
          <c:y val="4.3087489587337713E-2"/>
          <c:w val="0.85163370311957298"/>
          <c:h val="0.7662274045992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Sheet1!$D$14</c:f>
              <c:strCache>
                <c:ptCount val="1"/>
                <c:pt idx="0">
                  <c:v>Pack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Sheet1!$F$14:$R$14</c:f>
              <c:numCache>
                <c:formatCode>0</c:formatCode>
                <c:ptCount val="13"/>
                <c:pt idx="0">
                  <c:v>144</c:v>
                </c:pt>
                <c:pt idx="1">
                  <c:v>115</c:v>
                </c:pt>
                <c:pt idx="2">
                  <c:v>100</c:v>
                </c:pt>
                <c:pt idx="3">
                  <c:v>91</c:v>
                </c:pt>
                <c:pt idx="4">
                  <c:v>84</c:v>
                </c:pt>
                <c:pt idx="5">
                  <c:v>78</c:v>
                </c:pt>
                <c:pt idx="6">
                  <c:v>73</c:v>
                </c:pt>
                <c:pt idx="7">
                  <c:v>69</c:v>
                </c:pt>
                <c:pt idx="8">
                  <c:v>65</c:v>
                </c:pt>
                <c:pt idx="9">
                  <c:v>62</c:v>
                </c:pt>
                <c:pt idx="10">
                  <c:v>59</c:v>
                </c:pt>
                <c:pt idx="11">
                  <c:v>57</c:v>
                </c:pt>
                <c:pt idx="1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0-F94E-9DBE-1E4332589ABC}"/>
            </c:ext>
          </c:extLst>
        </c:ser>
        <c:ser>
          <c:idx val="1"/>
          <c:order val="1"/>
          <c:tx>
            <c:strRef>
              <c:f>Sheet1!$D$15</c:f>
              <c:strCache>
                <c:ptCount val="1"/>
                <c:pt idx="0">
                  <c:v>Rack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Sheet1!$F$15:$R$15</c:f>
              <c:numCache>
                <c:formatCode>0</c:formatCode>
                <c:ptCount val="13"/>
                <c:pt idx="0">
                  <c:v>30.218512847270148</c:v>
                </c:pt>
                <c:pt idx="1">
                  <c:v>17.059620394064098</c:v>
                </c:pt>
                <c:pt idx="2">
                  <c:v>28.614586818566778</c:v>
                </c:pt>
                <c:pt idx="3">
                  <c:v>21.734055544562182</c:v>
                </c:pt>
                <c:pt idx="4">
                  <c:v>12.853524270557571</c:v>
                </c:pt>
                <c:pt idx="5">
                  <c:v>11.924459083848234</c:v>
                </c:pt>
                <c:pt idx="6">
                  <c:v>11.116192336377139</c:v>
                </c:pt>
                <c:pt idx="7">
                  <c:v>10.16815096647548</c:v>
                </c:pt>
                <c:pt idx="8">
                  <c:v>9.8770785549584161</c:v>
                </c:pt>
                <c:pt idx="9">
                  <c:v>9.1388502404352465</c:v>
                </c:pt>
                <c:pt idx="10">
                  <c:v>8.8469194243001255</c:v>
                </c:pt>
                <c:pt idx="11">
                  <c:v>7.9431632575222437</c:v>
                </c:pt>
                <c:pt idx="12">
                  <c:v>8.3576342227472011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0-F94E-9DBE-1E4332589ABC}"/>
            </c:ext>
          </c:extLst>
        </c:ser>
        <c:ser>
          <c:idx val="2"/>
          <c:order val="2"/>
          <c:tx>
            <c:strRef>
              <c:f>Sheet1!$D$16</c:f>
              <c:strCache>
                <c:ptCount val="1"/>
                <c:pt idx="0">
                  <c:v>BOS + EMS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Sheet1!$F$16:$R$16</c:f>
              <c:numCache>
                <c:formatCode>0</c:formatCode>
                <c:ptCount val="13"/>
                <c:pt idx="0">
                  <c:v>43.551075871079838</c:v>
                </c:pt>
                <c:pt idx="1">
                  <c:v>35.48286084606984</c:v>
                </c:pt>
                <c:pt idx="2">
                  <c:v>33.983124106951607</c:v>
                </c:pt>
                <c:pt idx="3">
                  <c:v>32.726894274894114</c:v>
                </c:pt>
                <c:pt idx="4">
                  <c:v>31.594096748137424</c:v>
                </c:pt>
                <c:pt idx="5">
                  <c:v>30.593897090793721</c:v>
                </c:pt>
                <c:pt idx="6">
                  <c:v>29.736113533404605</c:v>
                </c:pt>
                <c:pt idx="7">
                  <c:v>28.987323591376644</c:v>
                </c:pt>
                <c:pt idx="8">
                  <c:v>28.323051145733636</c:v>
                </c:pt>
                <c:pt idx="9">
                  <c:v>27.73423728264541</c:v>
                </c:pt>
                <c:pt idx="10">
                  <c:v>27.190635864682104</c:v>
                </c:pt>
                <c:pt idx="11">
                  <c:v>26.680057706311558</c:v>
                </c:pt>
                <c:pt idx="12">
                  <c:v>25.961163782812868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0-F94E-9DBE-1E4332589A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00"/>
        <c:axId val="1860482383"/>
        <c:axId val="1458472224"/>
      </c:barChart>
      <c:catAx>
        <c:axId val="186048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72224"/>
        <c:crosses val="autoZero"/>
        <c:auto val="1"/>
        <c:lblAlgn val="ctr"/>
        <c:lblOffset val="100"/>
        <c:noMultiLvlLbl val="0"/>
      </c:catAx>
      <c:valAx>
        <c:axId val="14584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Battery capex build-up ($/kWh)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02352774112122E-2"/>
          <c:y val="4.3087489587337713E-2"/>
          <c:w val="0.85163370311957298"/>
          <c:h val="0.7662274045992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'2025US$'!$D$14</c:f>
              <c:strCache>
                <c:ptCount val="1"/>
                <c:pt idx="0">
                  <c:v>Pack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'2025US$'!$F$1:$R$1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'2025US$'!$F$14:$R$14</c:f>
              <c:numCache>
                <c:formatCode>0</c:formatCode>
                <c:ptCount val="13"/>
                <c:pt idx="0">
                  <c:v>149.04</c:v>
                </c:pt>
                <c:pt idx="1">
                  <c:v>119.02499999999999</c:v>
                </c:pt>
                <c:pt idx="2">
                  <c:v>103.49999999999999</c:v>
                </c:pt>
                <c:pt idx="3">
                  <c:v>94.184999999999988</c:v>
                </c:pt>
                <c:pt idx="4">
                  <c:v>86.94</c:v>
                </c:pt>
                <c:pt idx="5">
                  <c:v>80.72999999999999</c:v>
                </c:pt>
                <c:pt idx="6">
                  <c:v>75.554999999999993</c:v>
                </c:pt>
                <c:pt idx="7">
                  <c:v>71.414999999999992</c:v>
                </c:pt>
                <c:pt idx="8">
                  <c:v>67.274999999999991</c:v>
                </c:pt>
                <c:pt idx="9">
                  <c:v>64.17</c:v>
                </c:pt>
                <c:pt idx="10">
                  <c:v>61.064999999999998</c:v>
                </c:pt>
                <c:pt idx="11">
                  <c:v>58.994999999999997</c:v>
                </c:pt>
                <c:pt idx="12">
                  <c:v>55.889999999999993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E-D84F-8CE3-581F2825D5AA}"/>
            </c:ext>
          </c:extLst>
        </c:ser>
        <c:ser>
          <c:idx val="1"/>
          <c:order val="1"/>
          <c:tx>
            <c:strRef>
              <c:f>'2025US$'!$D$15</c:f>
              <c:strCache>
                <c:ptCount val="1"/>
                <c:pt idx="0">
                  <c:v>Rack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'2025US$'!$F$1:$R$1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'2025US$'!$F$15:$R$15</c:f>
              <c:numCache>
                <c:formatCode>0</c:formatCode>
                <c:ptCount val="13"/>
                <c:pt idx="0">
                  <c:v>31.276160796924586</c:v>
                </c:pt>
                <c:pt idx="1">
                  <c:v>17.656707107856349</c:v>
                </c:pt>
                <c:pt idx="2">
                  <c:v>29.616097357216617</c:v>
                </c:pt>
                <c:pt idx="3">
                  <c:v>22.494747488621854</c:v>
                </c:pt>
                <c:pt idx="4">
                  <c:v>13.303397620027084</c:v>
                </c:pt>
                <c:pt idx="5">
                  <c:v>12.341815151782924</c:v>
                </c:pt>
                <c:pt idx="6">
                  <c:v>11.505259068150337</c:v>
                </c:pt>
                <c:pt idx="7">
                  <c:v>10.524036250302117</c:v>
                </c:pt>
                <c:pt idx="8">
                  <c:v>10.222776304381966</c:v>
                </c:pt>
                <c:pt idx="9">
                  <c:v>9.4587099988504661</c:v>
                </c:pt>
                <c:pt idx="10">
                  <c:v>9.1565616041506246</c:v>
                </c:pt>
                <c:pt idx="11">
                  <c:v>8.2211739715355137</c:v>
                </c:pt>
                <c:pt idx="12">
                  <c:v>8.6501514205433594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E-D84F-8CE3-581F2825D5AA}"/>
            </c:ext>
          </c:extLst>
        </c:ser>
        <c:ser>
          <c:idx val="2"/>
          <c:order val="2"/>
          <c:tx>
            <c:strRef>
              <c:f>'2025US$'!$D$16</c:f>
              <c:strCache>
                <c:ptCount val="1"/>
                <c:pt idx="0">
                  <c:v>BOS + EMS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'2025US$'!$F$1:$R$1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'2025US$'!$F$16:$R$16</c:f>
              <c:numCache>
                <c:formatCode>0</c:formatCode>
                <c:ptCount val="13"/>
                <c:pt idx="0">
                  <c:v>45.075363526567628</c:v>
                </c:pt>
                <c:pt idx="1">
                  <c:v>36.72476097568228</c:v>
                </c:pt>
                <c:pt idx="2">
                  <c:v>35.172533450694907</c:v>
                </c:pt>
                <c:pt idx="3">
                  <c:v>33.872335574515404</c:v>
                </c:pt>
                <c:pt idx="4">
                  <c:v>32.699890134322231</c:v>
                </c:pt>
                <c:pt idx="5">
                  <c:v>31.664683488971498</c:v>
                </c:pt>
                <c:pt idx="6">
                  <c:v>30.776877507073763</c:v>
                </c:pt>
                <c:pt idx="7">
                  <c:v>30.001879917074824</c:v>
                </c:pt>
                <c:pt idx="8">
                  <c:v>29.314357935834312</c:v>
                </c:pt>
                <c:pt idx="9">
                  <c:v>28.704935587537996</c:v>
                </c:pt>
                <c:pt idx="10">
                  <c:v>28.142308119945977</c:v>
                </c:pt>
                <c:pt idx="11">
                  <c:v>27.613859726032462</c:v>
                </c:pt>
                <c:pt idx="12">
                  <c:v>26.869804515211317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E-D84F-8CE3-581F2825D5AA}"/>
            </c:ext>
          </c:extLst>
        </c:ser>
        <c:ser>
          <c:idx val="3"/>
          <c:order val="3"/>
          <c:tx>
            <c:strRef>
              <c:f>'2025US$'!$D$17</c:f>
              <c:strCache>
                <c:ptCount val="1"/>
                <c:pt idx="0">
                  <c:v>EPC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'2025US$'!$F$17:$R$17</c:f>
              <c:numCache>
                <c:formatCode>0</c:formatCode>
                <c:ptCount val="13"/>
                <c:pt idx="0">
                  <c:v>42.136301495172098</c:v>
                </c:pt>
                <c:pt idx="1">
                  <c:v>53.897397124723554</c:v>
                </c:pt>
                <c:pt idx="2">
                  <c:v>51.619342179789591</c:v>
                </c:pt>
                <c:pt idx="3">
                  <c:v>49.711166893922616</c:v>
                </c:pt>
                <c:pt idx="4">
                  <c:v>47.990481562872915</c:v>
                </c:pt>
                <c:pt idx="5">
                  <c:v>46.471208402522976</c:v>
                </c:pt>
                <c:pt idx="6">
                  <c:v>45.168261009407679</c:v>
                </c:pt>
                <c:pt idx="7">
                  <c:v>44.030871635885681</c:v>
                </c:pt>
                <c:pt idx="8">
                  <c:v>43.02186179428498</c:v>
                </c:pt>
                <c:pt idx="9">
                  <c:v>42.12747126728992</c:v>
                </c:pt>
                <c:pt idx="10">
                  <c:v>41.3017570829508</c:v>
                </c:pt>
                <c:pt idx="11">
                  <c:v>40.526204235498945</c:v>
                </c:pt>
                <c:pt idx="12">
                  <c:v>39.434226013859828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4-7546-9F37-090F7BD882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00"/>
        <c:axId val="1860482383"/>
        <c:axId val="1458472224"/>
      </c:barChart>
      <c:catAx>
        <c:axId val="186048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72224"/>
        <c:crosses val="autoZero"/>
        <c:auto val="1"/>
        <c:lblAlgn val="ctr"/>
        <c:lblOffset val="100"/>
        <c:noMultiLvlLbl val="0"/>
      </c:catAx>
      <c:valAx>
        <c:axId val="14584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Battery capex build-up ($/kWh)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02352774112122E-2"/>
          <c:y val="4.3087489587337713E-2"/>
          <c:w val="0.85163370311957298"/>
          <c:h val="0.7662274045992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'2025US$'!$D$9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'2025US$'!$F$1:$R$1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'2025US$'!$F$9:$R$9</c:f>
              <c:numCache>
                <c:formatCode>0</c:formatCode>
                <c:ptCount val="13"/>
                <c:pt idx="0">
                  <c:v>1148.1825189646117</c:v>
                </c:pt>
                <c:pt idx="1">
                  <c:v>1021.3235685873776</c:v>
                </c:pt>
                <c:pt idx="2">
                  <c:v>924.90103496247127</c:v>
                </c:pt>
                <c:pt idx="3">
                  <c:v>879.2046912074984</c:v>
                </c:pt>
                <c:pt idx="4">
                  <c:v>838.11129087592985</c:v>
                </c:pt>
                <c:pt idx="5">
                  <c:v>804.76168661927477</c:v>
                </c:pt>
                <c:pt idx="6">
                  <c:v>774.62078556311315</c:v>
                </c:pt>
                <c:pt idx="7">
                  <c:v>765.01481160712478</c:v>
                </c:pt>
                <c:pt idx="8">
                  <c:v>695.48757351726056</c:v>
                </c:pt>
                <c:pt idx="9">
                  <c:v>625.96033542739633</c:v>
                </c:pt>
                <c:pt idx="10">
                  <c:v>556.43309733753188</c:v>
                </c:pt>
                <c:pt idx="11">
                  <c:v>486.90585924766759</c:v>
                </c:pt>
                <c:pt idx="12">
                  <c:v>417.37862115780314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C-C941-8ECD-21E147CA10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00"/>
        <c:axId val="1860482383"/>
        <c:axId val="1458472224"/>
      </c:barChart>
      <c:catAx>
        <c:axId val="186048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72224"/>
        <c:crosses val="autoZero"/>
        <c:auto val="1"/>
        <c:lblAlgn val="ctr"/>
        <c:lblOffset val="100"/>
        <c:noMultiLvlLbl val="0"/>
      </c:catAx>
      <c:valAx>
        <c:axId val="14584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Solar capex ($/kW)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8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18</xdr:row>
      <xdr:rowOff>25400</xdr:rowOff>
    </xdr:from>
    <xdr:to>
      <xdr:col>14</xdr:col>
      <xdr:colOff>628098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3E961-7339-69FD-D8FE-39C175B5B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344005</xdr:colOff>
      <xdr:row>21</xdr:row>
      <xdr:rowOff>157094</xdr:rowOff>
    </xdr:from>
    <xdr:to>
      <xdr:col>8</xdr:col>
      <xdr:colOff>369215</xdr:colOff>
      <xdr:row>22</xdr:row>
      <xdr:rowOff>188332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0F25B4-7E76-A447-B044-792CF01C5029}"/>
            </a:ext>
          </a:extLst>
        </xdr:cNvPr>
        <xdr:cNvSpPr txBox="1"/>
      </xdr:nvSpPr>
      <xdr:spPr>
        <a:xfrm>
          <a:off x="6859657" y="4360518"/>
          <a:ext cx="853471" cy="231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+$304/kW</a:t>
          </a:r>
        </a:p>
      </xdr:txBody>
    </xdr:sp>
    <xdr:clientData/>
  </xdr:twoCellAnchor>
  <xdr:twoCellAnchor>
    <xdr:from>
      <xdr:col>10</xdr:col>
      <xdr:colOff>392872</xdr:colOff>
      <xdr:row>24</xdr:row>
      <xdr:rowOff>102429</xdr:rowOff>
    </xdr:from>
    <xdr:to>
      <xdr:col>11</xdr:col>
      <xdr:colOff>310598</xdr:colOff>
      <xdr:row>25</xdr:row>
      <xdr:rowOff>133667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78FE621-5D0B-1249-AA37-C526AEA5CBC6}"/>
            </a:ext>
          </a:extLst>
        </xdr:cNvPr>
        <xdr:cNvSpPr txBox="1"/>
      </xdr:nvSpPr>
      <xdr:spPr>
        <a:xfrm>
          <a:off x="9393307" y="4906342"/>
          <a:ext cx="745987" cy="231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+$258/kW</a:t>
          </a:r>
        </a:p>
      </xdr:txBody>
    </xdr:sp>
    <xdr:clientData/>
  </xdr:twoCellAnchor>
  <xdr:twoCellAnchor>
    <xdr:from>
      <xdr:col>13</xdr:col>
      <xdr:colOff>427934</xdr:colOff>
      <xdr:row>25</xdr:row>
      <xdr:rowOff>137493</xdr:rowOff>
    </xdr:from>
    <xdr:to>
      <xdr:col>14</xdr:col>
      <xdr:colOff>349612</xdr:colOff>
      <xdr:row>26</xdr:row>
      <xdr:rowOff>168731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DD9FB2-56FB-E340-A488-4CD39F00EAA0}"/>
            </a:ext>
          </a:extLst>
        </xdr:cNvPr>
        <xdr:cNvSpPr txBox="1"/>
      </xdr:nvSpPr>
      <xdr:spPr>
        <a:xfrm>
          <a:off x="11913151" y="5141569"/>
          <a:ext cx="749939" cy="231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+$231/kW</a:t>
          </a:r>
        </a:p>
      </xdr:txBody>
    </xdr:sp>
    <xdr:clientData/>
  </xdr:twoCellAnchor>
  <xdr:twoCellAnchor>
    <xdr:from>
      <xdr:col>11</xdr:col>
      <xdr:colOff>605611</xdr:colOff>
      <xdr:row>19</xdr:row>
      <xdr:rowOff>51456</xdr:rowOff>
    </xdr:from>
    <xdr:to>
      <xdr:col>14</xdr:col>
      <xdr:colOff>329259</xdr:colOff>
      <xdr:row>23</xdr:row>
      <xdr:rowOff>164630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10F57A1-1579-8A4E-BB2A-BF504219DBC6}"/>
            </a:ext>
          </a:extLst>
        </xdr:cNvPr>
        <xdr:cNvSpPr txBox="1"/>
      </xdr:nvSpPr>
      <xdr:spPr>
        <a:xfrm>
          <a:off x="10401074" y="3849697"/>
          <a:ext cx="2193092" cy="9128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/>
            <a:t>Note: $/kW</a:t>
          </a:r>
          <a:r>
            <a:rPr lang="en-US" sz="1000" baseline="0"/>
            <a:t> costs include PCS (Power Conversion System, including inverter); EPC (Engineering, procurement and construction); and Developer overhead (permitting etc.)</a:t>
          </a:r>
          <a:endParaRPr 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370958</xdr:colOff>
      <xdr:row>19</xdr:row>
      <xdr:rowOff>158306</xdr:rowOff>
    </xdr:from>
    <xdr:to>
      <xdr:col>14</xdr:col>
      <xdr:colOff>465656</xdr:colOff>
      <xdr:row>36</xdr:row>
      <xdr:rowOff>21412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29F9960-A05D-FA59-5E28-9A866682D79B}"/>
            </a:ext>
          </a:extLst>
        </xdr:cNvPr>
        <xdr:cNvGrpSpPr/>
      </xdr:nvGrpSpPr>
      <xdr:grpSpPr>
        <a:xfrm>
          <a:off x="6338882" y="4043645"/>
          <a:ext cx="7504825" cy="3339462"/>
          <a:chOff x="5377121" y="3746795"/>
          <a:chExt cx="7537489" cy="3377757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6BAC4EB5-6933-D74E-8B02-15B392F4AA97}"/>
              </a:ext>
            </a:extLst>
          </xdr:cNvPr>
          <xdr:cNvGraphicFramePr>
            <a:graphicFrameLocks/>
          </xdr:cNvGraphicFramePr>
        </xdr:nvGraphicFramePr>
        <xdr:xfrm>
          <a:off x="5377121" y="3746795"/>
          <a:ext cx="7537489" cy="33777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4AE71C8C-319D-DF46-9BBC-9BF1D0C9F51B}"/>
              </a:ext>
            </a:extLst>
          </xdr:cNvPr>
          <xdr:cNvSpPr txBox="1"/>
        </xdr:nvSpPr>
        <xdr:spPr>
          <a:xfrm>
            <a:off x="6950755" y="4363789"/>
            <a:ext cx="675575" cy="1786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/>
              <a:t>+$98/kW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3A2972B-236F-3748-92F3-F25118535AD4}"/>
              </a:ext>
            </a:extLst>
          </xdr:cNvPr>
          <xdr:cNvSpPr txBox="1"/>
        </xdr:nvSpPr>
        <xdr:spPr>
          <a:xfrm>
            <a:off x="9423830" y="4912131"/>
            <a:ext cx="677014" cy="1799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/>
              <a:t>+$82/kW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F1D93AB-CEDB-234B-AAF7-93FE2CE3EB24}"/>
              </a:ext>
            </a:extLst>
          </xdr:cNvPr>
          <xdr:cNvSpPr txBox="1"/>
        </xdr:nvSpPr>
        <xdr:spPr>
          <a:xfrm>
            <a:off x="11884515" y="5137292"/>
            <a:ext cx="671758" cy="1973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/>
              <a:t>+$73/kW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120AF2C-06B1-CF48-9805-E798EE077186}"/>
              </a:ext>
            </a:extLst>
          </xdr:cNvPr>
          <xdr:cNvSpPr txBox="1"/>
        </xdr:nvSpPr>
        <xdr:spPr>
          <a:xfrm>
            <a:off x="10203945" y="4023895"/>
            <a:ext cx="2407451" cy="749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/>
              <a:t>Note: $/kW</a:t>
            </a:r>
            <a:r>
              <a:rPr lang="en-US" sz="1000" baseline="0"/>
              <a:t> costs include PCS (Power Conversion System, including inverter) and Developer overhead (permitting etc.)</a:t>
            </a:r>
            <a:endParaRPr lang="en-US" sz="1000"/>
          </a:p>
        </xdr:txBody>
      </xdr:sp>
    </xdr:grpSp>
    <xdr:clientData/>
  </xdr:twoCellAnchor>
  <xdr:twoCellAnchor>
    <xdr:from>
      <xdr:col>14</xdr:col>
      <xdr:colOff>668050</xdr:colOff>
      <xdr:row>19</xdr:row>
      <xdr:rowOff>135017</xdr:rowOff>
    </xdr:from>
    <xdr:to>
      <xdr:col>24</xdr:col>
      <xdr:colOff>490606</xdr:colOff>
      <xdr:row>35</xdr:row>
      <xdr:rowOff>204867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6B2B7D-0195-F843-832E-0CFC07578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115855</xdr:colOff>
      <xdr:row>24</xdr:row>
      <xdr:rowOff>171449</xdr:rowOff>
    </xdr:from>
    <xdr:to>
      <xdr:col>9</xdr:col>
      <xdr:colOff>788401</xdr:colOff>
      <xdr:row>25</xdr:row>
      <xdr:rowOff>145030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419971-42DB-2F4E-9607-A120979BC706}"/>
            </a:ext>
          </a:extLst>
        </xdr:cNvPr>
        <xdr:cNvSpPr txBox="1"/>
      </xdr:nvSpPr>
      <xdr:spPr>
        <a:xfrm>
          <a:off x="8269255" y="5048249"/>
          <a:ext cx="672546" cy="176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+$87/kW</a:t>
          </a:r>
        </a:p>
      </xdr:txBody>
    </xdr:sp>
    <xdr:clientData/>
  </xdr:twoCellAnchor>
  <xdr:twoCellAnchor>
    <xdr:from>
      <xdr:col>6</xdr:col>
      <xdr:colOff>113537</xdr:colOff>
      <xdr:row>20</xdr:row>
      <xdr:rowOff>152785</xdr:rowOff>
    </xdr:from>
    <xdr:to>
      <xdr:col>6</xdr:col>
      <xdr:colOff>790148</xdr:colOff>
      <xdr:row>21</xdr:row>
      <xdr:rowOff>124980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A6981-A380-FE4E-8251-0632BAA4AD93}"/>
            </a:ext>
          </a:extLst>
        </xdr:cNvPr>
        <xdr:cNvSpPr txBox="1"/>
      </xdr:nvSpPr>
      <xdr:spPr>
        <a:xfrm>
          <a:off x="5783819" y="4266870"/>
          <a:ext cx="676611" cy="177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+$108/kW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D7A5-1ACF-A54A-8390-E59F2A75C0F9}">
  <dimension ref="A1:T19"/>
  <sheetViews>
    <sheetView workbookViewId="0">
      <selection activeCell="J9" sqref="J9"/>
    </sheetView>
  </sheetViews>
  <sheetFormatPr baseColWidth="10" defaultRowHeight="16" x14ac:dyDescent="0.2"/>
  <cols>
    <col min="2" max="2" width="9.6640625" customWidth="1"/>
    <col min="3" max="3" width="11.33203125" customWidth="1"/>
    <col min="4" max="4" width="22.1640625" style="3" customWidth="1"/>
    <col min="5" max="5" width="9.6640625" customWidth="1"/>
    <col min="19" max="19" width="3.5" customWidth="1"/>
  </cols>
  <sheetData>
    <row r="1" spans="1:20" s="3" customFormat="1" x14ac:dyDescent="0.2">
      <c r="A1" s="3" t="s">
        <v>20</v>
      </c>
      <c r="C1" s="3" t="s">
        <v>27</v>
      </c>
      <c r="D1" s="3" t="s">
        <v>0</v>
      </c>
      <c r="E1" s="3" t="s">
        <v>1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T1" s="3" t="s">
        <v>21</v>
      </c>
    </row>
    <row r="3" spans="1:20" x14ac:dyDescent="0.2">
      <c r="B3" s="3" t="s">
        <v>18</v>
      </c>
      <c r="C3" t="s">
        <v>28</v>
      </c>
      <c r="D3" t="s">
        <v>2</v>
      </c>
      <c r="F3" s="4">
        <v>8.5000000000000006E-2</v>
      </c>
      <c r="G3" s="4">
        <v>8.1266165066781804E-2</v>
      </c>
      <c r="H3" s="4">
        <v>7.91585151420338E-2</v>
      </c>
      <c r="I3" s="4">
        <v>7.7696348054840297E-2</v>
      </c>
      <c r="J3" s="4">
        <v>7.6580828339327403E-2</v>
      </c>
      <c r="K3" s="4">
        <v>7.5681281858516095E-2</v>
      </c>
      <c r="L3" s="4">
        <v>7.4928974729068995E-2</v>
      </c>
      <c r="M3" s="4">
        <v>7.4283344071891494E-2</v>
      </c>
      <c r="N3" s="4">
        <v>7.3718476699901198E-2</v>
      </c>
      <c r="O3" s="4">
        <v>7.3216826314996E-2</v>
      </c>
      <c r="P3" s="4">
        <v>7.2765969766016403E-2</v>
      </c>
      <c r="Q3" s="4">
        <v>7.2356794635056496E-2</v>
      </c>
      <c r="R3" s="4">
        <v>7.1982422135805996E-2</v>
      </c>
    </row>
    <row r="4" spans="1:20" x14ac:dyDescent="0.2">
      <c r="B4" s="3"/>
      <c r="C4" t="s">
        <v>28</v>
      </c>
      <c r="D4" t="s">
        <v>3</v>
      </c>
      <c r="F4" s="1">
        <v>621</v>
      </c>
      <c r="G4" s="1">
        <v>576.30498415221496</v>
      </c>
      <c r="H4" s="1">
        <v>551.666542488814</v>
      </c>
      <c r="I4" s="1">
        <v>534.82678705102205</v>
      </c>
      <c r="J4" s="1">
        <v>522.11966802077802</v>
      </c>
      <c r="K4" s="1">
        <v>511.96163933385401</v>
      </c>
      <c r="L4" s="1">
        <v>503.52748716836101</v>
      </c>
      <c r="M4" s="1">
        <v>496.33388572563501</v>
      </c>
      <c r="N4" s="1">
        <v>490.07403236966599</v>
      </c>
      <c r="O4" s="1">
        <v>484.54133172990998</v>
      </c>
      <c r="P4" s="1">
        <v>479.59022298967</v>
      </c>
      <c r="Q4" s="1">
        <v>475.11440328959497</v>
      </c>
      <c r="R4" s="1">
        <v>471.03394436176302</v>
      </c>
    </row>
    <row r="5" spans="1:20" x14ac:dyDescent="0.2">
      <c r="B5" s="3"/>
      <c r="C5" t="s">
        <v>28</v>
      </c>
      <c r="D5" t="s">
        <v>4</v>
      </c>
      <c r="F5" s="4">
        <v>0.70009999999999994</v>
      </c>
      <c r="G5" s="4">
        <v>0.70009999999999994</v>
      </c>
      <c r="H5" s="4">
        <v>0.70009999999999994</v>
      </c>
      <c r="I5" s="4">
        <v>0.70009999999999994</v>
      </c>
      <c r="J5" s="4">
        <v>0.70009999999999994</v>
      </c>
      <c r="K5" s="4">
        <v>0.70009999999999994</v>
      </c>
      <c r="L5" s="4">
        <v>0.70009999999999994</v>
      </c>
      <c r="M5" s="4">
        <v>0.70009999999999994</v>
      </c>
      <c r="N5" s="4">
        <v>0.70009999999999994</v>
      </c>
      <c r="O5" s="4">
        <v>0.70009999999999994</v>
      </c>
      <c r="P5" s="4">
        <v>0.70009999999999994</v>
      </c>
      <c r="Q5" s="4">
        <v>0.70009999999999994</v>
      </c>
      <c r="R5" s="4">
        <v>0.70009999999999994</v>
      </c>
    </row>
    <row r="6" spans="1:20" x14ac:dyDescent="0.2">
      <c r="B6" s="3"/>
      <c r="C6" t="s">
        <v>28</v>
      </c>
      <c r="D6" t="s">
        <v>5</v>
      </c>
      <c r="F6" s="5">
        <v>6.8967710000000015E-2</v>
      </c>
      <c r="G6" s="5">
        <v>6.4718834844024437E-2</v>
      </c>
      <c r="H6" s="5">
        <v>6.2361813330737814E-2</v>
      </c>
      <c r="I6" s="5">
        <v>6.0744358143088657E-2</v>
      </c>
      <c r="J6" s="5">
        <v>5.9520188377098965E-2</v>
      </c>
      <c r="K6" s="5">
        <v>5.8539250799132102E-2</v>
      </c>
      <c r="L6" s="5">
        <v>5.7723158897904747E-2</v>
      </c>
      <c r="M6" s="5">
        <v>5.7025910226811971E-2</v>
      </c>
      <c r="N6" s="5">
        <v>5.6418254168500687E-2</v>
      </c>
      <c r="O6" s="5">
        <v>5.5880464846278302E-2</v>
      </c>
      <c r="P6" s="5">
        <v>5.5398625844335116E-2</v>
      </c>
      <c r="Q6" s="5">
        <v>5.4962562085357991E-2</v>
      </c>
      <c r="R6" s="5">
        <v>5.456461484329525E-2</v>
      </c>
    </row>
    <row r="7" spans="1:20" x14ac:dyDescent="0.2">
      <c r="B7" s="3"/>
      <c r="C7" t="s">
        <v>28</v>
      </c>
      <c r="D7" t="s">
        <v>6</v>
      </c>
      <c r="F7" s="1">
        <v>25</v>
      </c>
      <c r="G7" s="1">
        <v>25</v>
      </c>
      <c r="H7" s="1">
        <v>25</v>
      </c>
      <c r="I7" s="1">
        <v>25</v>
      </c>
      <c r="J7" s="1">
        <v>25</v>
      </c>
      <c r="K7" s="1">
        <v>25</v>
      </c>
      <c r="L7" s="1">
        <v>25</v>
      </c>
      <c r="M7" s="1">
        <v>25</v>
      </c>
      <c r="N7" s="1">
        <v>25</v>
      </c>
      <c r="O7" s="1">
        <v>25</v>
      </c>
      <c r="P7" s="1">
        <v>25</v>
      </c>
      <c r="Q7" s="1">
        <v>25</v>
      </c>
      <c r="R7" s="1">
        <v>25</v>
      </c>
    </row>
    <row r="8" spans="1:20" x14ac:dyDescent="0.2">
      <c r="B8" s="3"/>
      <c r="C8" s="3"/>
      <c r="D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0" x14ac:dyDescent="0.2">
      <c r="A9" t="s">
        <v>26</v>
      </c>
      <c r="B9" s="3" t="s">
        <v>17</v>
      </c>
      <c r="C9" t="s">
        <v>28</v>
      </c>
      <c r="D9" t="s">
        <v>7</v>
      </c>
      <c r="E9" t="s">
        <v>8</v>
      </c>
      <c r="F9" s="1">
        <v>1034.3986657338844</v>
      </c>
      <c r="G9" s="1">
        <v>920.11132305169144</v>
      </c>
      <c r="H9" s="1">
        <v>833.24417564186592</v>
      </c>
      <c r="I9" s="1">
        <v>792.07629838513367</v>
      </c>
      <c r="J9" s="1">
        <v>755.05521700534212</v>
      </c>
      <c r="K9" s="1">
        <v>725.01052848583311</v>
      </c>
      <c r="L9" s="1">
        <v>697.85656357037215</v>
      </c>
      <c r="M9" s="1">
        <v>689.20253297939166</v>
      </c>
      <c r="N9" s="1">
        <v>626.56538154708153</v>
      </c>
      <c r="O9" s="1">
        <v>563.9282301147714</v>
      </c>
      <c r="P9" s="1">
        <v>501.29107868246109</v>
      </c>
      <c r="Q9" s="1">
        <v>438.65392725015096</v>
      </c>
      <c r="R9" s="1">
        <v>376.01677581784065</v>
      </c>
      <c r="T9" t="s">
        <v>29</v>
      </c>
    </row>
    <row r="10" spans="1:20" x14ac:dyDescent="0.2">
      <c r="A10" t="s">
        <v>26</v>
      </c>
      <c r="B10" s="3"/>
      <c r="C10" t="s">
        <v>28</v>
      </c>
      <c r="D10" t="s">
        <v>9</v>
      </c>
      <c r="E10" t="s">
        <v>10</v>
      </c>
      <c r="F10" s="1">
        <v>15785.331578270363</v>
      </c>
      <c r="G10" s="1">
        <v>15463.570434302581</v>
      </c>
      <c r="H10" s="1">
        <v>15103.484400869309</v>
      </c>
      <c r="I10" s="1">
        <v>14871.148078228223</v>
      </c>
      <c r="J10" s="1">
        <v>14637.407089472206</v>
      </c>
      <c r="K10" s="1">
        <v>14501.1640730446</v>
      </c>
      <c r="L10" s="1">
        <v>14306.289935882432</v>
      </c>
      <c r="M10" s="1">
        <v>14083.44089054763</v>
      </c>
      <c r="N10" s="1">
        <v>13919.521132766416</v>
      </c>
      <c r="O10" s="1">
        <v>13776.052752419</v>
      </c>
      <c r="P10" s="1">
        <v>13649.700674669888</v>
      </c>
      <c r="Q10" s="1">
        <v>13536.539759338617</v>
      </c>
      <c r="R10" s="1">
        <v>13432.892426173088</v>
      </c>
      <c r="T10" t="s">
        <v>29</v>
      </c>
    </row>
    <row r="11" spans="1:20" x14ac:dyDescent="0.2">
      <c r="B11" s="3"/>
      <c r="C11" s="3"/>
      <c r="D1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0" x14ac:dyDescent="0.2">
      <c r="A12" t="s">
        <v>26</v>
      </c>
      <c r="B12" s="3" t="s">
        <v>19</v>
      </c>
      <c r="C12" t="s">
        <v>28</v>
      </c>
      <c r="D12" t="s">
        <v>9</v>
      </c>
      <c r="E12" t="s">
        <v>10</v>
      </c>
      <c r="F12" s="1">
        <v>3296.6639185855961</v>
      </c>
      <c r="G12" s="1">
        <v>2773.6115096094345</v>
      </c>
      <c r="H12" s="1">
        <v>2567.7978536455453</v>
      </c>
      <c r="I12" s="1">
        <v>2399.3912369335749</v>
      </c>
      <c r="J12" s="1">
        <v>2258.4607658261361</v>
      </c>
      <c r="K12" s="1">
        <v>2138.1071304694992</v>
      </c>
      <c r="L12" s="1">
        <v>2031.1079411029548</v>
      </c>
      <c r="M12" s="1">
        <v>1942.4718936253771</v>
      </c>
      <c r="N12" s="1">
        <v>1864.049141923995</v>
      </c>
      <c r="O12" s="1">
        <v>1793.3602281042063</v>
      </c>
      <c r="P12" s="1">
        <v>1748.7163352192094</v>
      </c>
      <c r="Q12" s="1">
        <v>1705.1949913124952</v>
      </c>
      <c r="R12" s="1">
        <v>1662.6650535250374</v>
      </c>
      <c r="T12" t="s">
        <v>29</v>
      </c>
    </row>
    <row r="13" spans="1:20" x14ac:dyDescent="0.2">
      <c r="A13" t="s">
        <v>24</v>
      </c>
      <c r="C13" s="7" t="s">
        <v>23</v>
      </c>
      <c r="D13" s="7" t="s">
        <v>11</v>
      </c>
      <c r="E13" s="7" t="s">
        <v>12</v>
      </c>
      <c r="F13" s="6">
        <v>174.21851284727015</v>
      </c>
      <c r="G13" s="6">
        <v>132.0596203940641</v>
      </c>
      <c r="H13" s="6">
        <v>128.61458681856678</v>
      </c>
      <c r="I13" s="6">
        <v>112.73405554456218</v>
      </c>
      <c r="J13" s="6">
        <v>96.853524270557571</v>
      </c>
      <c r="K13" s="6">
        <v>89.924459083848234</v>
      </c>
      <c r="L13" s="6">
        <v>84.116192336377139</v>
      </c>
      <c r="M13" s="6">
        <v>79.16815096647548</v>
      </c>
      <c r="N13" s="6">
        <v>74.877078554958416</v>
      </c>
      <c r="O13" s="6">
        <v>71.138850240435247</v>
      </c>
      <c r="P13" s="6">
        <v>67.846919424300125</v>
      </c>
      <c r="Q13" s="6">
        <v>64.943163257522244</v>
      </c>
      <c r="R13" s="6">
        <v>62.357634222747201</v>
      </c>
      <c r="T13" t="s">
        <v>25</v>
      </c>
    </row>
    <row r="14" spans="1:20" x14ac:dyDescent="0.2">
      <c r="A14" t="s">
        <v>24</v>
      </c>
      <c r="C14" t="s">
        <v>22</v>
      </c>
      <c r="D14" t="s">
        <v>13</v>
      </c>
      <c r="E14" t="s">
        <v>12</v>
      </c>
      <c r="F14" s="1">
        <v>144</v>
      </c>
      <c r="G14" s="1">
        <v>115</v>
      </c>
      <c r="H14" s="1">
        <v>100</v>
      </c>
      <c r="I14" s="1">
        <v>91</v>
      </c>
      <c r="J14" s="1">
        <v>84</v>
      </c>
      <c r="K14" s="1">
        <v>78</v>
      </c>
      <c r="L14" s="1">
        <v>73</v>
      </c>
      <c r="M14" s="1">
        <v>69</v>
      </c>
      <c r="N14" s="1">
        <v>65</v>
      </c>
      <c r="O14" s="1">
        <v>62</v>
      </c>
      <c r="P14" s="1">
        <v>59</v>
      </c>
      <c r="Q14" s="1">
        <v>57</v>
      </c>
      <c r="R14" s="1">
        <v>54</v>
      </c>
    </row>
    <row r="15" spans="1:20" x14ac:dyDescent="0.2">
      <c r="A15" t="s">
        <v>24</v>
      </c>
      <c r="C15" t="s">
        <v>23</v>
      </c>
      <c r="D15" t="s">
        <v>14</v>
      </c>
      <c r="E15" t="s">
        <v>12</v>
      </c>
      <c r="F15" s="1">
        <f>F13-F14</f>
        <v>30.218512847270148</v>
      </c>
      <c r="G15" s="1">
        <f t="shared" ref="G15:R15" si="0">G13-G14</f>
        <v>17.059620394064098</v>
      </c>
      <c r="H15" s="1">
        <f t="shared" si="0"/>
        <v>28.614586818566778</v>
      </c>
      <c r="I15" s="1">
        <f t="shared" si="0"/>
        <v>21.734055544562182</v>
      </c>
      <c r="J15" s="1">
        <f t="shared" si="0"/>
        <v>12.853524270557571</v>
      </c>
      <c r="K15" s="1">
        <f t="shared" si="0"/>
        <v>11.924459083848234</v>
      </c>
      <c r="L15" s="1">
        <f t="shared" si="0"/>
        <v>11.116192336377139</v>
      </c>
      <c r="M15" s="1">
        <f t="shared" si="0"/>
        <v>10.16815096647548</v>
      </c>
      <c r="N15" s="1">
        <f t="shared" si="0"/>
        <v>9.8770785549584161</v>
      </c>
      <c r="O15" s="1">
        <f t="shared" si="0"/>
        <v>9.1388502404352465</v>
      </c>
      <c r="P15" s="1">
        <f t="shared" si="0"/>
        <v>8.8469194243001255</v>
      </c>
      <c r="Q15" s="1">
        <f t="shared" si="0"/>
        <v>7.9431632575222437</v>
      </c>
      <c r="R15" s="1">
        <f t="shared" si="0"/>
        <v>8.3576342227472011</v>
      </c>
      <c r="S15" s="1"/>
    </row>
    <row r="16" spans="1:20" x14ac:dyDescent="0.2">
      <c r="A16" t="s">
        <v>24</v>
      </c>
      <c r="C16" t="s">
        <v>23</v>
      </c>
      <c r="D16" t="s">
        <v>15</v>
      </c>
      <c r="E16" t="s">
        <v>12</v>
      </c>
      <c r="F16" s="1">
        <v>43.551075871079838</v>
      </c>
      <c r="G16" s="1">
        <v>35.48286084606984</v>
      </c>
      <c r="H16" s="1">
        <v>33.983124106951607</v>
      </c>
      <c r="I16" s="1">
        <v>32.726894274894114</v>
      </c>
      <c r="J16" s="1">
        <v>31.594096748137424</v>
      </c>
      <c r="K16" s="1">
        <v>30.593897090793721</v>
      </c>
      <c r="L16" s="1">
        <v>29.736113533404605</v>
      </c>
      <c r="M16" s="1">
        <v>28.987323591376644</v>
      </c>
      <c r="N16" s="1">
        <v>28.323051145733636</v>
      </c>
      <c r="O16" s="1">
        <v>27.73423728264541</v>
      </c>
      <c r="P16" s="1">
        <v>27.190635864682104</v>
      </c>
      <c r="Q16" s="1">
        <v>26.680057706311558</v>
      </c>
      <c r="R16" s="1">
        <v>25.961163782812868</v>
      </c>
      <c r="T16" t="s">
        <v>25</v>
      </c>
    </row>
    <row r="17" spans="1:20" x14ac:dyDescent="0.2">
      <c r="A17" t="s">
        <v>24</v>
      </c>
      <c r="C17" t="s">
        <v>23</v>
      </c>
      <c r="D17" t="s">
        <v>16</v>
      </c>
      <c r="E17" t="s">
        <v>8</v>
      </c>
      <c r="F17" s="1">
        <v>276.63348514303948</v>
      </c>
      <c r="G17" s="1">
        <v>317.78013406429568</v>
      </c>
      <c r="H17" s="1">
        <v>304.00977693374216</v>
      </c>
      <c r="I17" s="1">
        <v>292.49029701908546</v>
      </c>
      <c r="J17" s="1">
        <v>282.11436384895882</v>
      </c>
      <c r="K17" s="1">
        <v>272.96253428757973</v>
      </c>
      <c r="L17" s="1">
        <v>265.12123823795463</v>
      </c>
      <c r="M17" s="1">
        <v>258.28197273906005</v>
      </c>
      <c r="N17" s="1">
        <v>252.21915750631413</v>
      </c>
      <c r="O17" s="1">
        <v>246.84864607594653</v>
      </c>
      <c r="P17" s="1">
        <v>241.89350161046326</v>
      </c>
      <c r="Q17" s="1">
        <v>237.24200967887521</v>
      </c>
      <c r="R17" s="1">
        <v>230.69624373207444</v>
      </c>
      <c r="T17" t="s">
        <v>25</v>
      </c>
    </row>
    <row r="18" spans="1:20" x14ac:dyDescent="0.2">
      <c r="D1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0" x14ac:dyDescent="0.2">
      <c r="D1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phoneticPr fontId="5" type="noConversion"/>
  <conditionalFormatting sqref="F13:R13">
    <cfRule type="expression" dxfId="3" priority="7" stopIfTrue="1">
      <formula>MOD(ROW(),2)=1</formula>
    </cfRule>
    <cfRule type="expression" dxfId="2" priority="8" stopIfTrue="1">
      <formula>MOD(ROW(),2)=0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7CC4-4142-E148-B880-4A4D8C7E037C}">
  <dimension ref="A1:T27"/>
  <sheetViews>
    <sheetView tabSelected="1" topLeftCell="A16" zoomScale="236" workbookViewId="0">
      <selection activeCell="B27" sqref="B27"/>
    </sheetView>
  </sheetViews>
  <sheetFormatPr baseColWidth="10" defaultRowHeight="16" x14ac:dyDescent="0.2"/>
  <cols>
    <col min="1" max="1" width="14" bestFit="1" customWidth="1"/>
    <col min="2" max="2" width="9.6640625" customWidth="1"/>
    <col min="3" max="3" width="22.83203125" customWidth="1"/>
    <col min="4" max="4" width="22.1640625" style="3" customWidth="1"/>
    <col min="5" max="5" width="9.6640625" customWidth="1"/>
    <col min="19" max="19" width="3.5" customWidth="1"/>
  </cols>
  <sheetData>
    <row r="1" spans="1:20" s="3" customFormat="1" x14ac:dyDescent="0.2">
      <c r="A1" s="3" t="s">
        <v>20</v>
      </c>
      <c r="C1" s="3" t="s">
        <v>27</v>
      </c>
      <c r="D1" s="3" t="s">
        <v>0</v>
      </c>
      <c r="E1" s="3" t="s">
        <v>1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T1" s="3" t="s">
        <v>21</v>
      </c>
    </row>
    <row r="3" spans="1:20" x14ac:dyDescent="0.2">
      <c r="B3" s="3" t="s">
        <v>18</v>
      </c>
      <c r="C3" t="s">
        <v>28</v>
      </c>
      <c r="D3" t="s">
        <v>2</v>
      </c>
      <c r="F3" s="4">
        <v>8.5000000000000006E-2</v>
      </c>
      <c r="G3" s="4">
        <v>8.1266165066781804E-2</v>
      </c>
      <c r="H3" s="4">
        <v>7.91585151420338E-2</v>
      </c>
      <c r="I3" s="4">
        <v>7.7696348054840297E-2</v>
      </c>
      <c r="J3" s="4">
        <v>7.6580828339327403E-2</v>
      </c>
      <c r="K3" s="4">
        <v>7.5681281858516095E-2</v>
      </c>
      <c r="L3" s="4">
        <v>7.4928974729068995E-2</v>
      </c>
      <c r="M3" s="4">
        <v>7.4283344071891494E-2</v>
      </c>
      <c r="N3" s="4">
        <v>7.3718476699901198E-2</v>
      </c>
      <c r="O3" s="4">
        <v>7.3216826314996E-2</v>
      </c>
      <c r="P3" s="4">
        <v>7.2765969766016403E-2</v>
      </c>
      <c r="Q3" s="4">
        <v>7.2356794635056496E-2</v>
      </c>
      <c r="R3" s="4">
        <v>7.1982422135805996E-2</v>
      </c>
    </row>
    <row r="4" spans="1:20" x14ac:dyDescent="0.2">
      <c r="B4" s="3"/>
      <c r="C4" t="s">
        <v>28</v>
      </c>
      <c r="D4" t="s">
        <v>3</v>
      </c>
      <c r="F4" s="1">
        <v>621</v>
      </c>
      <c r="G4" s="1">
        <v>576.30498415221496</v>
      </c>
      <c r="H4" s="1">
        <v>551.666542488814</v>
      </c>
      <c r="I4" s="1">
        <v>534.82678705102205</v>
      </c>
      <c r="J4" s="1">
        <v>522.11966802077802</v>
      </c>
      <c r="K4" s="1">
        <v>511.96163933385401</v>
      </c>
      <c r="L4" s="1">
        <v>503.52748716836101</v>
      </c>
      <c r="M4" s="1">
        <v>496.33388572563501</v>
      </c>
      <c r="N4" s="1">
        <v>490.07403236966599</v>
      </c>
      <c r="O4" s="1">
        <v>484.54133172990998</v>
      </c>
      <c r="P4" s="1">
        <v>479.59022298967</v>
      </c>
      <c r="Q4" s="1">
        <v>475.11440328959497</v>
      </c>
      <c r="R4" s="1">
        <v>471.03394436176302</v>
      </c>
    </row>
    <row r="5" spans="1:20" x14ac:dyDescent="0.2">
      <c r="B5" s="3"/>
      <c r="C5" t="s">
        <v>28</v>
      </c>
      <c r="D5" t="s">
        <v>4</v>
      </c>
      <c r="F5" s="4">
        <v>0.70009999999999994</v>
      </c>
      <c r="G5" s="4">
        <v>0.70009999999999994</v>
      </c>
      <c r="H5" s="4">
        <v>0.70009999999999994</v>
      </c>
      <c r="I5" s="4">
        <v>0.70009999999999994</v>
      </c>
      <c r="J5" s="4">
        <v>0.70009999999999994</v>
      </c>
      <c r="K5" s="4">
        <v>0.70009999999999994</v>
      </c>
      <c r="L5" s="4">
        <v>0.70009999999999994</v>
      </c>
      <c r="M5" s="4">
        <v>0.70009999999999994</v>
      </c>
      <c r="N5" s="4">
        <v>0.70009999999999994</v>
      </c>
      <c r="O5" s="4">
        <v>0.70009999999999994</v>
      </c>
      <c r="P5" s="4">
        <v>0.70009999999999994</v>
      </c>
      <c r="Q5" s="4">
        <v>0.70009999999999994</v>
      </c>
      <c r="R5" s="4">
        <v>0.70009999999999994</v>
      </c>
    </row>
    <row r="6" spans="1:20" x14ac:dyDescent="0.2">
      <c r="B6" s="3"/>
      <c r="C6" t="s">
        <v>28</v>
      </c>
      <c r="D6" t="s">
        <v>5</v>
      </c>
      <c r="F6" s="5">
        <v>6.8967710000000015E-2</v>
      </c>
      <c r="G6" s="5">
        <v>6.4718834844024437E-2</v>
      </c>
      <c r="H6" s="5">
        <v>6.2361813330737814E-2</v>
      </c>
      <c r="I6" s="5">
        <v>6.0744358143088657E-2</v>
      </c>
      <c r="J6" s="5">
        <v>5.9520188377098965E-2</v>
      </c>
      <c r="K6" s="5">
        <v>5.8539250799132102E-2</v>
      </c>
      <c r="L6" s="5">
        <v>5.7723158897904747E-2</v>
      </c>
      <c r="M6" s="5">
        <v>5.7025910226811971E-2</v>
      </c>
      <c r="N6" s="5">
        <v>5.6418254168500687E-2</v>
      </c>
      <c r="O6" s="5">
        <v>5.5880464846278302E-2</v>
      </c>
      <c r="P6" s="5">
        <v>5.5398625844335116E-2</v>
      </c>
      <c r="Q6" s="5">
        <v>5.4962562085357991E-2</v>
      </c>
      <c r="R6" s="5">
        <v>5.456461484329525E-2</v>
      </c>
    </row>
    <row r="7" spans="1:20" x14ac:dyDescent="0.2">
      <c r="B7" s="3"/>
      <c r="C7" t="s">
        <v>28</v>
      </c>
      <c r="D7" t="s">
        <v>6</v>
      </c>
      <c r="F7" s="1">
        <v>25</v>
      </c>
      <c r="G7" s="1">
        <v>25</v>
      </c>
      <c r="H7" s="1">
        <v>25</v>
      </c>
      <c r="I7" s="1">
        <v>25</v>
      </c>
      <c r="J7" s="1">
        <v>25</v>
      </c>
      <c r="K7" s="1">
        <v>25</v>
      </c>
      <c r="L7" s="1">
        <v>25</v>
      </c>
      <c r="M7" s="1">
        <v>25</v>
      </c>
      <c r="N7" s="1">
        <v>25</v>
      </c>
      <c r="O7" s="1">
        <v>25</v>
      </c>
      <c r="P7" s="1">
        <v>25</v>
      </c>
      <c r="Q7" s="1">
        <v>25</v>
      </c>
      <c r="R7" s="1">
        <v>25</v>
      </c>
    </row>
    <row r="8" spans="1:20" x14ac:dyDescent="0.2">
      <c r="B8" s="3"/>
      <c r="C8" s="3"/>
      <c r="D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0" x14ac:dyDescent="0.2">
      <c r="A9" t="s">
        <v>26</v>
      </c>
      <c r="B9" s="3" t="s">
        <v>17</v>
      </c>
      <c r="C9" t="s">
        <v>28</v>
      </c>
      <c r="D9" t="s">
        <v>7</v>
      </c>
      <c r="E9" t="s">
        <v>8</v>
      </c>
      <c r="F9" s="1">
        <f>Sheet1!F9*'2025US$'!$B$20</f>
        <v>1148.1825189646117</v>
      </c>
      <c r="G9" s="1">
        <f>Sheet1!G9*'2025US$'!$B$20</f>
        <v>1021.3235685873776</v>
      </c>
      <c r="H9" s="1">
        <f>Sheet1!H9*'2025US$'!$B$20</f>
        <v>924.90103496247127</v>
      </c>
      <c r="I9" s="1">
        <f>Sheet1!I9*'2025US$'!$B$20</f>
        <v>879.2046912074984</v>
      </c>
      <c r="J9" s="1">
        <f>Sheet1!J9*'2025US$'!$B$20</f>
        <v>838.11129087592985</v>
      </c>
      <c r="K9" s="1">
        <f>Sheet1!K9*'2025US$'!$B$20</f>
        <v>804.76168661927477</v>
      </c>
      <c r="L9" s="1">
        <f>Sheet1!L9*'2025US$'!$B$20</f>
        <v>774.62078556311315</v>
      </c>
      <c r="M9" s="1">
        <f>Sheet1!M9*'2025US$'!$B$20</f>
        <v>765.01481160712478</v>
      </c>
      <c r="N9" s="1">
        <f>Sheet1!N9*'2025US$'!$B$20</f>
        <v>695.48757351726056</v>
      </c>
      <c r="O9" s="1">
        <f>Sheet1!O9*'2025US$'!$B$20</f>
        <v>625.96033542739633</v>
      </c>
      <c r="P9" s="1">
        <f>Sheet1!P9*'2025US$'!$B$20</f>
        <v>556.43309733753188</v>
      </c>
      <c r="Q9" s="1">
        <f>Sheet1!Q9*'2025US$'!$B$20</f>
        <v>486.90585924766759</v>
      </c>
      <c r="R9" s="1">
        <f>Sheet1!R9*'2025US$'!$B$20</f>
        <v>417.37862115780314</v>
      </c>
      <c r="T9" t="s">
        <v>29</v>
      </c>
    </row>
    <row r="10" spans="1:20" x14ac:dyDescent="0.2">
      <c r="A10" t="s">
        <v>26</v>
      </c>
      <c r="B10" s="3"/>
      <c r="C10" t="s">
        <v>28</v>
      </c>
      <c r="D10" t="s">
        <v>9</v>
      </c>
      <c r="E10" t="s">
        <v>10</v>
      </c>
      <c r="F10" s="2">
        <f>Sheet1!F10*'2025US$'!$B$20</f>
        <v>17521.718051880103</v>
      </c>
      <c r="G10" s="2">
        <f>Sheet1!G10*'2025US$'!$B$20</f>
        <v>17164.563182075868</v>
      </c>
      <c r="H10" s="2">
        <f>Sheet1!H10*'2025US$'!$B$20</f>
        <v>16764.867684964935</v>
      </c>
      <c r="I10" s="2">
        <f>Sheet1!I10*'2025US$'!$B$20</f>
        <v>16506.974366833329</v>
      </c>
      <c r="J10" s="2">
        <f>Sheet1!J10*'2025US$'!$B$20</f>
        <v>16247.521869314151</v>
      </c>
      <c r="K10" s="2">
        <f>Sheet1!K10*'2025US$'!$B$20</f>
        <v>16096.292121079507</v>
      </c>
      <c r="L10" s="2">
        <f>Sheet1!L10*'2025US$'!$B$20</f>
        <v>15879.981828829501</v>
      </c>
      <c r="M10" s="2">
        <f>Sheet1!M10*'2025US$'!$B$20</f>
        <v>15632.61938850787</v>
      </c>
      <c r="N10" s="2">
        <f>Sheet1!N10*'2025US$'!$B$20</f>
        <v>15450.668457370724</v>
      </c>
      <c r="O10" s="2">
        <f>Sheet1!O10*'2025US$'!$B$20</f>
        <v>15291.418555185091</v>
      </c>
      <c r="P10" s="2">
        <f>Sheet1!P10*'2025US$'!$B$20</f>
        <v>15151.167748883578</v>
      </c>
      <c r="Q10" s="2">
        <f>Sheet1!Q10*'2025US$'!$B$20</f>
        <v>15025.559132865867</v>
      </c>
      <c r="R10" s="2">
        <f>Sheet1!R10*'2025US$'!$B$20</f>
        <v>14910.510593052129</v>
      </c>
      <c r="T10" t="s">
        <v>29</v>
      </c>
    </row>
    <row r="11" spans="1:20" x14ac:dyDescent="0.2">
      <c r="B11" s="3"/>
      <c r="C11" s="3"/>
      <c r="D1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0" x14ac:dyDescent="0.2">
      <c r="A12" t="s">
        <v>26</v>
      </c>
      <c r="B12" s="3" t="s">
        <v>19</v>
      </c>
      <c r="C12" t="s">
        <v>28</v>
      </c>
      <c r="D12" t="s">
        <v>9</v>
      </c>
      <c r="E12" t="s">
        <v>10</v>
      </c>
      <c r="F12" s="8">
        <f>Sheet1!F12*'2025US$'!$B$20</f>
        <v>3659.296949630012</v>
      </c>
      <c r="G12" s="8">
        <f>Sheet1!G12*'2025US$'!$B$20</f>
        <v>3078.7087756664728</v>
      </c>
      <c r="H12" s="8">
        <f>Sheet1!H12*'2025US$'!$B$20</f>
        <v>2850.2556175465556</v>
      </c>
      <c r="I12" s="8">
        <f>Sheet1!I12*'2025US$'!$B$20</f>
        <v>2663.3242729962685</v>
      </c>
      <c r="J12" s="8">
        <f>Sheet1!J12*'2025US$'!$B$20</f>
        <v>2506.8914500670112</v>
      </c>
      <c r="K12" s="8">
        <f>Sheet1!K12*'2025US$'!$B$20</f>
        <v>2373.2989148211445</v>
      </c>
      <c r="L12" s="8">
        <f>Sheet1!L12*'2025US$'!$B$20</f>
        <v>2254.5298146242799</v>
      </c>
      <c r="M12" s="8">
        <f>Sheet1!M12*'2025US$'!$B$20</f>
        <v>2156.1438019241687</v>
      </c>
      <c r="N12" s="8">
        <f>Sheet1!N12*'2025US$'!$B$20</f>
        <v>2069.0945475356348</v>
      </c>
      <c r="O12" s="8">
        <f>Sheet1!O12*'2025US$'!$B$20</f>
        <v>1990.6298531956691</v>
      </c>
      <c r="P12" s="8">
        <f>Sheet1!P12*'2025US$'!$B$20</f>
        <v>1941.0751320933227</v>
      </c>
      <c r="Q12" s="8">
        <f>Sheet1!Q12*'2025US$'!$B$20</f>
        <v>1892.7664403568699</v>
      </c>
      <c r="R12" s="8">
        <f>Sheet1!R12*'2025US$'!$B$20</f>
        <v>1845.5582094127917</v>
      </c>
      <c r="T12" t="s">
        <v>29</v>
      </c>
    </row>
    <row r="13" spans="1:20" x14ac:dyDescent="0.2">
      <c r="A13" t="s">
        <v>24</v>
      </c>
      <c r="C13" s="7" t="s">
        <v>23</v>
      </c>
      <c r="D13" s="7" t="s">
        <v>11</v>
      </c>
      <c r="E13" s="7" t="s">
        <v>12</v>
      </c>
      <c r="F13" s="6">
        <f>Sheet1!F13*'2025US$'!$B$21</f>
        <v>180.31616079692458</v>
      </c>
      <c r="G13" s="6">
        <f>Sheet1!G13*'2025US$'!$B$21</f>
        <v>136.68170710785634</v>
      </c>
      <c r="H13" s="6">
        <f>Sheet1!H13*'2025US$'!$B$21</f>
        <v>133.1160973572166</v>
      </c>
      <c r="I13" s="6">
        <f>Sheet1!I13*'2025US$'!$B$21</f>
        <v>116.67974748862184</v>
      </c>
      <c r="J13" s="6">
        <f>Sheet1!J13*'2025US$'!$B$21</f>
        <v>100.24339762002708</v>
      </c>
      <c r="K13" s="6">
        <f>Sheet1!K13*'2025US$'!$B$21</f>
        <v>93.071815151782914</v>
      </c>
      <c r="L13" s="6">
        <f>Sheet1!L13*'2025US$'!$B$21</f>
        <v>87.06025906815033</v>
      </c>
      <c r="M13" s="6">
        <f>Sheet1!M13*'2025US$'!$B$21</f>
        <v>81.939036250302109</v>
      </c>
      <c r="N13" s="6">
        <f>Sheet1!N13*'2025US$'!$B$21</f>
        <v>77.497776304381958</v>
      </c>
      <c r="O13" s="6">
        <f>Sheet1!O13*'2025US$'!$B$21</f>
        <v>73.628709998850468</v>
      </c>
      <c r="P13" s="6">
        <f>Sheet1!P13*'2025US$'!$B$21</f>
        <v>70.221561604150622</v>
      </c>
      <c r="Q13" s="6">
        <f>Sheet1!Q13*'2025US$'!$B$21</f>
        <v>67.216173971535511</v>
      </c>
      <c r="R13" s="6">
        <f>Sheet1!R13*'2025US$'!$B$21</f>
        <v>64.540151420543353</v>
      </c>
      <c r="T13" t="s">
        <v>25</v>
      </c>
    </row>
    <row r="14" spans="1:20" x14ac:dyDescent="0.2">
      <c r="A14" t="s">
        <v>24</v>
      </c>
      <c r="C14" t="s">
        <v>22</v>
      </c>
      <c r="D14" t="s">
        <v>13</v>
      </c>
      <c r="E14" t="s">
        <v>12</v>
      </c>
      <c r="F14" s="1">
        <f>Sheet1!F14*'2025US$'!$B$21</f>
        <v>149.04</v>
      </c>
      <c r="G14" s="1">
        <f>Sheet1!G14*'2025US$'!$B$21</f>
        <v>119.02499999999999</v>
      </c>
      <c r="H14" s="1">
        <f>Sheet1!H14*'2025US$'!$B$21</f>
        <v>103.49999999999999</v>
      </c>
      <c r="I14" s="1">
        <f>Sheet1!I14*'2025US$'!$B$21</f>
        <v>94.184999999999988</v>
      </c>
      <c r="J14" s="1">
        <f>Sheet1!J14*'2025US$'!$B$21</f>
        <v>86.94</v>
      </c>
      <c r="K14" s="1">
        <f>Sheet1!K14*'2025US$'!$B$21</f>
        <v>80.72999999999999</v>
      </c>
      <c r="L14" s="1">
        <f>Sheet1!L14*'2025US$'!$B$21</f>
        <v>75.554999999999993</v>
      </c>
      <c r="M14" s="1">
        <f>Sheet1!M14*'2025US$'!$B$21</f>
        <v>71.414999999999992</v>
      </c>
      <c r="N14" s="1">
        <f>Sheet1!N14*'2025US$'!$B$21</f>
        <v>67.274999999999991</v>
      </c>
      <c r="O14" s="1">
        <f>Sheet1!O14*'2025US$'!$B$21</f>
        <v>64.17</v>
      </c>
      <c r="P14" s="1">
        <f>Sheet1!P14*'2025US$'!$B$21</f>
        <v>61.064999999999998</v>
      </c>
      <c r="Q14" s="1">
        <f>Sheet1!Q14*'2025US$'!$B$21</f>
        <v>58.994999999999997</v>
      </c>
      <c r="R14" s="1">
        <f>Sheet1!R14*'2025US$'!$B$21</f>
        <v>55.889999999999993</v>
      </c>
    </row>
    <row r="15" spans="1:20" x14ac:dyDescent="0.2">
      <c r="A15" t="s">
        <v>24</v>
      </c>
      <c r="C15" t="s">
        <v>23</v>
      </c>
      <c r="D15" t="s">
        <v>14</v>
      </c>
      <c r="E15" t="s">
        <v>12</v>
      </c>
      <c r="F15" s="1">
        <f>F13-F14</f>
        <v>31.276160796924586</v>
      </c>
      <c r="G15" s="1">
        <f t="shared" ref="G15:R15" si="0">G13-G14</f>
        <v>17.656707107856349</v>
      </c>
      <c r="H15" s="1">
        <f t="shared" si="0"/>
        <v>29.616097357216617</v>
      </c>
      <c r="I15" s="1">
        <f t="shared" si="0"/>
        <v>22.494747488621854</v>
      </c>
      <c r="J15" s="1">
        <f t="shared" si="0"/>
        <v>13.303397620027084</v>
      </c>
      <c r="K15" s="1">
        <f t="shared" si="0"/>
        <v>12.341815151782924</v>
      </c>
      <c r="L15" s="1">
        <f t="shared" si="0"/>
        <v>11.505259068150337</v>
      </c>
      <c r="M15" s="1">
        <f t="shared" si="0"/>
        <v>10.524036250302117</v>
      </c>
      <c r="N15" s="1">
        <f t="shared" si="0"/>
        <v>10.222776304381966</v>
      </c>
      <c r="O15" s="1">
        <f t="shared" si="0"/>
        <v>9.4587099988504661</v>
      </c>
      <c r="P15" s="1">
        <f t="shared" si="0"/>
        <v>9.1565616041506246</v>
      </c>
      <c r="Q15" s="1">
        <f t="shared" si="0"/>
        <v>8.2211739715355137</v>
      </c>
      <c r="R15" s="1">
        <f t="shared" si="0"/>
        <v>8.6501514205433594</v>
      </c>
      <c r="S15" s="1"/>
    </row>
    <row r="16" spans="1:20" x14ac:dyDescent="0.2">
      <c r="A16" t="s">
        <v>24</v>
      </c>
      <c r="C16" t="s">
        <v>23</v>
      </c>
      <c r="D16" t="s">
        <v>15</v>
      </c>
      <c r="E16" t="s">
        <v>12</v>
      </c>
      <c r="F16" s="1">
        <f>Sheet1!F16*'2025US$'!$B$21</f>
        <v>45.075363526567628</v>
      </c>
      <c r="G16" s="1">
        <f>Sheet1!G16*'2025US$'!$B$21</f>
        <v>36.72476097568228</v>
      </c>
      <c r="H16" s="1">
        <f>Sheet1!H16*'2025US$'!$B$21</f>
        <v>35.172533450694907</v>
      </c>
      <c r="I16" s="1">
        <f>Sheet1!I16*'2025US$'!$B$21</f>
        <v>33.872335574515404</v>
      </c>
      <c r="J16" s="1">
        <f>Sheet1!J16*'2025US$'!$B$21</f>
        <v>32.699890134322231</v>
      </c>
      <c r="K16" s="1">
        <f>Sheet1!K16*'2025US$'!$B$21</f>
        <v>31.664683488971498</v>
      </c>
      <c r="L16" s="1">
        <f>Sheet1!L16*'2025US$'!$B$21</f>
        <v>30.776877507073763</v>
      </c>
      <c r="M16" s="1">
        <f>Sheet1!M16*'2025US$'!$B$21</f>
        <v>30.001879917074824</v>
      </c>
      <c r="N16" s="1">
        <f>Sheet1!N16*'2025US$'!$B$21</f>
        <v>29.314357935834312</v>
      </c>
      <c r="O16" s="1">
        <f>Sheet1!O16*'2025US$'!$B$21</f>
        <v>28.704935587537996</v>
      </c>
      <c r="P16" s="1">
        <f>Sheet1!P16*'2025US$'!$B$21</f>
        <v>28.142308119945977</v>
      </c>
      <c r="Q16" s="1">
        <f>Sheet1!Q16*'2025US$'!$B$21</f>
        <v>27.613859726032462</v>
      </c>
      <c r="R16" s="1">
        <f>Sheet1!R16*'2025US$'!$B$21</f>
        <v>26.869804515211317</v>
      </c>
      <c r="T16" t="s">
        <v>25</v>
      </c>
    </row>
    <row r="17" spans="1:20" x14ac:dyDescent="0.2">
      <c r="A17" t="s">
        <v>24</v>
      </c>
      <c r="C17" t="s">
        <v>34</v>
      </c>
      <c r="D17" t="s">
        <v>35</v>
      </c>
      <c r="E17" t="s">
        <v>12</v>
      </c>
      <c r="F17" s="1">
        <v>42.136301495172098</v>
      </c>
      <c r="G17" s="1">
        <v>53.897397124723554</v>
      </c>
      <c r="H17" s="1">
        <v>51.619342179789591</v>
      </c>
      <c r="I17" s="1">
        <v>49.711166893922616</v>
      </c>
      <c r="J17" s="1">
        <v>47.990481562872915</v>
      </c>
      <c r="K17" s="1">
        <v>46.471208402522976</v>
      </c>
      <c r="L17" s="1">
        <v>45.168261009407679</v>
      </c>
      <c r="M17" s="1">
        <v>44.030871635885681</v>
      </c>
      <c r="N17" s="1">
        <v>43.02186179428498</v>
      </c>
      <c r="O17" s="1">
        <v>42.12747126728992</v>
      </c>
      <c r="P17" s="1">
        <v>41.3017570829508</v>
      </c>
      <c r="Q17" s="1">
        <v>40.526204235498945</v>
      </c>
      <c r="R17" s="1">
        <v>39.434226013859828</v>
      </c>
      <c r="T17" t="s">
        <v>25</v>
      </c>
    </row>
    <row r="18" spans="1:20" x14ac:dyDescent="0.2">
      <c r="C18" t="s">
        <v>23</v>
      </c>
      <c r="D18" t="s">
        <v>36</v>
      </c>
      <c r="E18" t="s">
        <v>8</v>
      </c>
      <c r="F18" s="1">
        <v>108.08827916235109</v>
      </c>
      <c r="G18" s="1">
        <v>102.19054556540142</v>
      </c>
      <c r="H18" s="1">
        <v>97.532408214583796</v>
      </c>
      <c r="I18" s="1">
        <v>93.645629443394995</v>
      </c>
      <c r="J18" s="1">
        <v>90.152437597467156</v>
      </c>
      <c r="K18" s="1">
        <v>87.077700677487826</v>
      </c>
      <c r="L18" s="1">
        <v>84.44819420032394</v>
      </c>
      <c r="M18" s="1">
        <v>82.158486195517298</v>
      </c>
      <c r="N18" s="1">
        <v>80.131710329174211</v>
      </c>
      <c r="O18" s="1">
        <v>78.338761006786854</v>
      </c>
      <c r="P18" s="1">
        <v>76.686473278660031</v>
      </c>
      <c r="Q18" s="1">
        <v>75.137192736879442</v>
      </c>
      <c r="R18" s="1">
        <v>72.959339676635096</v>
      </c>
      <c r="T18" t="s">
        <v>33</v>
      </c>
    </row>
    <row r="19" spans="1:20" x14ac:dyDescent="0.2">
      <c r="A19" t="s">
        <v>31</v>
      </c>
      <c r="D1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x14ac:dyDescent="0.2">
      <c r="A20" t="s">
        <v>30</v>
      </c>
      <c r="B20">
        <v>1.1100000000000001</v>
      </c>
    </row>
    <row r="21" spans="1:20" x14ac:dyDescent="0.2">
      <c r="A21" t="s">
        <v>32</v>
      </c>
      <c r="B21">
        <v>1.0349999999999999</v>
      </c>
    </row>
    <row r="23" spans="1:20" x14ac:dyDescent="0.2">
      <c r="A23" t="s">
        <v>13</v>
      </c>
      <c r="B23" t="s">
        <v>37</v>
      </c>
    </row>
    <row r="24" spans="1:20" x14ac:dyDescent="0.2">
      <c r="A24" t="s">
        <v>14</v>
      </c>
      <c r="B24" t="s">
        <v>38</v>
      </c>
    </row>
    <row r="25" spans="1:20" x14ac:dyDescent="0.2">
      <c r="A25" t="s">
        <v>15</v>
      </c>
      <c r="B25" t="s">
        <v>39</v>
      </c>
    </row>
    <row r="26" spans="1:20" x14ac:dyDescent="0.2">
      <c r="A26" t="s">
        <v>35</v>
      </c>
      <c r="B26" t="s">
        <v>40</v>
      </c>
    </row>
    <row r="27" spans="1:20" x14ac:dyDescent="0.2">
      <c r="A27" t="s">
        <v>36</v>
      </c>
      <c r="B27" t="s">
        <v>41</v>
      </c>
    </row>
  </sheetData>
  <phoneticPr fontId="5" type="noConversion"/>
  <conditionalFormatting sqref="F13:R13">
    <cfRule type="expression" dxfId="1" priority="1" stopIfTrue="1">
      <formula>MOD(ROW(),2)=1</formula>
    </cfRule>
    <cfRule type="expression" dxfId="0" priority="2" stopIfTrue="1">
      <formula>MOD(ROW(),2)=0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2025US$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Yuen</cp:lastModifiedBy>
  <dcterms:created xsi:type="dcterms:W3CDTF">2025-11-03T23:55:13Z</dcterms:created>
  <dcterms:modified xsi:type="dcterms:W3CDTF">2026-02-15T02:53:04Z</dcterms:modified>
</cp:coreProperties>
</file>