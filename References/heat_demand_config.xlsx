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y_control" sheetId="1" state="visible" r:id="rId1"/>
    <sheet xmlns:r="http://schemas.openxmlformats.org/officeDocument/2006/relationships" name="tech_split" sheetId="2" state="visible" r:id="rId2"/>
    <sheet xmlns:r="http://schemas.openxmlformats.org/officeDocument/2006/relationships" name="fuel_routing" sheetId="3" state="visible" r:id="rId3"/>
    <sheet xmlns:r="http://schemas.openxmlformats.org/officeDocument/2006/relationships" name="READ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FF"/>
      <sz val="10"/>
    </font>
    <font>
      <name val="Arial"/>
      <sz val="10"/>
    </font>
    <font>
      <name val="Arial"/>
      <i val="1"/>
      <color rgb="00808080"/>
      <sz val="9"/>
    </font>
    <font>
      <name val="Arial"/>
      <b val="1"/>
      <sz val="12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7" customWidth="1" min="3" max="3"/>
    <col width="14" customWidth="1" min="4" max="4"/>
    <col width="52" customWidth="1" min="5" max="5"/>
  </cols>
  <sheetData>
    <row r="1">
      <c r="A1" s="1" t="inlineStr">
        <is>
          <t>activity_pattern</t>
        </is>
      </c>
      <c r="B1" s="1" t="inlineStr">
        <is>
          <t>activity_label</t>
        </is>
      </c>
      <c r="C1" s="1" t="inlineStr">
        <is>
          <t>eta</t>
        </is>
      </c>
      <c r="D1" s="1" t="inlineStr">
        <is>
          <t>routing_mode</t>
        </is>
      </c>
      <c r="E1" s="1" t="inlineStr">
        <is>
          <t>eta_rationale</t>
        </is>
      </c>
    </row>
    <row r="2">
      <c r="A2" s="2" t="inlineStr">
        <is>
          <t>^1\(a\)$</t>
        </is>
      </c>
      <c r="B2" s="2" t="inlineStr">
        <is>
          <t>Petroleum refineries</t>
        </is>
      </c>
      <c r="C2" s="3" t="n">
        <v>1</v>
      </c>
      <c r="D2" s="3" t="inlineStr">
        <is>
          <t>tech_split</t>
        </is>
      </c>
      <c r="E2" s="4" t="inlineStr">
        <is>
          <t>All combustion is for heat; no process-chemistry CO2</t>
        </is>
      </c>
    </row>
    <row r="3">
      <c r="A3" s="2" t="inlineStr">
        <is>
          <t>^1\(b\)$</t>
        </is>
      </c>
      <c r="B3" s="2" t="inlineStr">
        <is>
          <t>Coke ovens (LCP-reported aux only)</t>
        </is>
      </c>
      <c r="C3" s="3" t="n">
        <v>1</v>
      </c>
      <c r="D3" s="3" t="inlineStr">
        <is>
          <t>tech_split</t>
        </is>
      </c>
      <c r="E3" s="4" t="inlineStr">
        <is>
          <t>Coke battery furnaces excluded by IED Art 28(f); LCP fuel is aux</t>
        </is>
      </c>
    </row>
    <row r="4">
      <c r="A4" s="2" t="inlineStr">
        <is>
          <t>^2\(a\)$</t>
        </is>
      </c>
      <c r="B4" s="2" t="inlineStr">
        <is>
          <t>Metal ore roasting/sintering</t>
        </is>
      </c>
      <c r="C4" s="3" t="n">
        <v>1</v>
      </c>
      <c r="D4" s="3" t="inlineStr">
        <is>
          <t>fuel_routing</t>
        </is>
      </c>
      <c r="E4" s="4" t="inlineStr">
        <is>
          <t>Direct heating excluded by Art 28(a); LCP fuel is utility</t>
        </is>
      </c>
    </row>
    <row r="5">
      <c r="A5" s="2" t="inlineStr">
        <is>
          <t>^2\(b\)$</t>
        </is>
      </c>
      <c r="B5" s="2" t="inlineStr">
        <is>
          <t>Iron &amp; Steel (BF/BOF)</t>
        </is>
      </c>
      <c r="C5" s="3" t="n">
        <v>0.85</v>
      </c>
      <c r="D5" s="3" t="inlineStr">
        <is>
          <t>fuel_routing</t>
        </is>
      </c>
      <c r="E5" s="4" t="inlineStr">
        <is>
          <t>Direct units (sinter/stoves/coke) excluded; ~15% coal is reductant</t>
        </is>
      </c>
    </row>
    <row r="6">
      <c r="A6" s="2" t="inlineStr">
        <is>
          <t>^2\(c\)</t>
        </is>
      </c>
      <c r="B6" s="2" t="inlineStr">
        <is>
          <t>Hot/cold rolling, coating</t>
        </is>
      </c>
      <c r="C6" s="3" t="n">
        <v>1</v>
      </c>
      <c r="D6" s="3" t="inlineStr">
        <is>
          <t>fuel_routing</t>
        </is>
      </c>
      <c r="E6" s="4" t="inlineStr">
        <is>
          <t>Reheating furnaces excluded by Art 28(a); LCP fuel is utility</t>
        </is>
      </c>
    </row>
    <row r="7">
      <c r="A7" s="2" t="inlineStr">
        <is>
          <t>^2\(d\)</t>
        </is>
      </c>
      <c r="B7" s="2" t="inlineStr">
        <is>
          <t>Ferrous metal foundries</t>
        </is>
      </c>
      <c r="C7" s="3" t="n">
        <v>1</v>
      </c>
      <c r="D7" s="3" t="inlineStr">
        <is>
          <t>fuel_routing</t>
        </is>
      </c>
      <c r="E7" s="4" t="inlineStr">
        <is>
          <t>Melting furnaces excluded by Art 28(a)</t>
        </is>
      </c>
    </row>
    <row r="8">
      <c r="A8" s="2" t="inlineStr">
        <is>
          <t>^2\(e\)</t>
        </is>
      </c>
      <c r="B8" s="2" t="inlineStr">
        <is>
          <t>Non-ferrous (primary)</t>
        </is>
      </c>
      <c r="C8" s="3" t="n">
        <v>0.9</v>
      </c>
      <c r="D8" s="3" t="inlineStr">
        <is>
          <t>fuel_routing</t>
        </is>
      </c>
      <c r="E8" s="4" t="inlineStr">
        <is>
          <t>Some ore-process CO2; smelters excluded by Art 28(a)</t>
        </is>
      </c>
    </row>
    <row r="9">
      <c r="A9" s="2" t="inlineStr">
        <is>
          <t>^2\(f\)</t>
        </is>
      </c>
      <c r="B9" s="2" t="inlineStr">
        <is>
          <t>Non-ferrous (secondary)</t>
        </is>
      </c>
      <c r="C9" s="3" t="n">
        <v>0.9</v>
      </c>
      <c r="D9" s="3" t="inlineStr">
        <is>
          <t>fuel_routing</t>
        </is>
      </c>
      <c r="E9" s="4" t="inlineStr">
        <is>
          <t>Melting furnaces excluded by Art 28(a)</t>
        </is>
      </c>
    </row>
    <row r="10">
      <c r="A10" s="2" t="inlineStr">
        <is>
          <t>^3\(a\)</t>
        </is>
      </c>
      <c r="B10" s="2" t="inlineStr">
        <is>
          <t>Cement clinker</t>
        </is>
      </c>
      <c r="C10" s="3" t="n">
        <v>0.4</v>
      </c>
      <c r="D10" s="3" t="inlineStr">
        <is>
          <t>tech_split</t>
        </is>
      </c>
      <c r="E10" s="4" t="inlineStr">
        <is>
          <t>60% of CO2 is calcination; kiln IS counted as direct heat here</t>
        </is>
      </c>
    </row>
    <row r="11">
      <c r="A11" s="2" t="inlineStr">
        <is>
          <t>^3\(b\)</t>
        </is>
      </c>
      <c r="B11" s="2" t="inlineStr">
        <is>
          <t>Lime</t>
        </is>
      </c>
      <c r="C11" s="3" t="n">
        <v>0.45</v>
      </c>
      <c r="D11" s="3" t="inlineStr">
        <is>
          <t>tech_split</t>
        </is>
      </c>
      <c r="E11" s="4" t="inlineStr">
        <is>
          <t>55% of CO2 is calcination</t>
        </is>
      </c>
    </row>
    <row r="12">
      <c r="A12" s="2" t="inlineStr">
        <is>
          <t>^3\(c\)</t>
        </is>
      </c>
      <c r="B12" s="2" t="inlineStr">
        <is>
          <t>Glass</t>
        </is>
      </c>
      <c r="C12" s="3" t="n">
        <v>0.95</v>
      </c>
      <c r="D12" s="3" t="inlineStr">
        <is>
          <t>tech_split</t>
        </is>
      </c>
      <c r="E12" s="4" t="inlineStr">
        <is>
          <t>Minimal carbonate CO2; melting furnace dominant</t>
        </is>
      </c>
    </row>
    <row r="13">
      <c r="A13" s="2" t="inlineStr">
        <is>
          <t>^3\(e\)</t>
        </is>
      </c>
      <c r="B13" s="2" t="inlineStr">
        <is>
          <t>Mineral fibres</t>
        </is>
      </c>
      <c r="C13" s="3" t="n">
        <v>0.95</v>
      </c>
      <c r="D13" s="3" t="inlineStr">
        <is>
          <t>tech_split</t>
        </is>
      </c>
      <c r="E13" s="4" t="inlineStr">
        <is>
          <t>Minor process CO2 in stone wool cupola</t>
        </is>
      </c>
    </row>
    <row r="14">
      <c r="A14" s="2" t="inlineStr">
        <is>
          <t>^3\(f\)</t>
        </is>
      </c>
      <c r="B14" s="2" t="inlineStr">
        <is>
          <t>Other mineral (gypsum etc.)</t>
        </is>
      </c>
      <c r="C14" s="3" t="n">
        <v>1</v>
      </c>
      <c r="D14" s="3" t="inlineStr">
        <is>
          <t>tech_split</t>
        </is>
      </c>
      <c r="E14" s="4" t="inlineStr">
        <is>
          <t>Default combustion-for-heat</t>
        </is>
      </c>
    </row>
    <row r="15">
      <c r="A15" s="2" t="inlineStr">
        <is>
          <t>^4\(a\)</t>
        </is>
      </c>
      <c r="B15" s="2" t="inlineStr">
        <is>
          <t>Basic organic chemicals / olefins</t>
        </is>
      </c>
      <c r="C15" s="3" t="n">
        <v>1</v>
      </c>
      <c r="D15" s="3" t="inlineStr">
        <is>
          <t>tech_split</t>
        </is>
      </c>
      <c r="E15" s="4" t="inlineStr">
        <is>
          <t>Combustion for heat; flag H2 reforming subset separately</t>
        </is>
      </c>
    </row>
    <row r="16">
      <c r="A16" s="2" t="inlineStr">
        <is>
          <t>^4\(b\)</t>
        </is>
      </c>
      <c r="B16" s="2" t="inlineStr">
        <is>
          <t>Basic inorganic chemicals / fertiliser</t>
        </is>
      </c>
      <c r="C16" s="3" t="n">
        <v>0.75</v>
      </c>
      <c r="D16" s="3" t="inlineStr">
        <is>
          <t>tech_split</t>
        </is>
      </c>
      <c r="E16" s="4" t="inlineStr">
        <is>
          <t>NH3 plants: ~25% gas is feedstock not heat; set 1.0 for non-NH3</t>
        </is>
      </c>
    </row>
    <row r="17">
      <c r="A17" s="2" t="inlineStr">
        <is>
          <t>^4\(c\)</t>
        </is>
      </c>
      <c r="B17" s="2" t="inlineStr">
        <is>
          <t>Other chemicals (P, N, agro)</t>
        </is>
      </c>
      <c r="C17" s="3" t="n">
        <v>1</v>
      </c>
      <c r="D17" s="3" t="inlineStr">
        <is>
          <t>tech_split</t>
        </is>
      </c>
      <c r="E17" s="4" t="inlineStr">
        <is>
          <t>Default combustion-for-heat</t>
        </is>
      </c>
    </row>
    <row r="18">
      <c r="A18" s="2" t="inlineStr">
        <is>
          <t>^4\(e\)</t>
        </is>
      </c>
      <c r="B18" s="2" t="inlineStr">
        <is>
          <t>Other chemical processes</t>
        </is>
      </c>
      <c r="C18" s="3" t="n">
        <v>1</v>
      </c>
      <c r="D18" s="3" t="inlineStr">
        <is>
          <t>tech_split</t>
        </is>
      </c>
      <c r="E18" s="4" t="inlineStr">
        <is>
          <t>Default combustion-for-heat</t>
        </is>
      </c>
    </row>
    <row r="19">
      <c r="A19" s="2" t="inlineStr">
        <is>
          <t>^5\(a\)$</t>
        </is>
      </c>
      <c r="B19" s="2" t="inlineStr">
        <is>
          <t>Hazardous waste disposal</t>
        </is>
      </c>
      <c r="C19" s="3" t="n">
        <v>1</v>
      </c>
      <c r="D19" s="3" t="inlineStr">
        <is>
          <t>fuel_routing</t>
        </is>
      </c>
      <c r="E19" s="4" t="inlineStr">
        <is>
          <t>LCP fuel = auxiliary burners maintaining &gt;850C</t>
        </is>
      </c>
    </row>
    <row r="20">
      <c r="A20" s="2" t="inlineStr">
        <is>
          <t>^5\(b\)$</t>
        </is>
      </c>
      <c r="B20" s="2" t="inlineStr">
        <is>
          <t>Municipal waste incineration (WtE)</t>
        </is>
      </c>
      <c r="C20" s="3" t="n">
        <v>1</v>
      </c>
      <c r="D20" s="3" t="inlineStr">
        <is>
          <t>fuel_routing</t>
        </is>
      </c>
      <c r="E20" s="4" t="inlineStr">
        <is>
          <t>LCP fuel = auxiliary burners only; waste itself not in LCP</t>
        </is>
      </c>
    </row>
    <row r="21">
      <c r="A21" s="2" t="inlineStr">
        <is>
          <t>^5\(c\)$</t>
        </is>
      </c>
      <c r="B21" s="2" t="inlineStr">
        <is>
          <t>Non-hazardous waste disposal</t>
        </is>
      </c>
      <c r="C21" s="3" t="n">
        <v>1</v>
      </c>
      <c r="D21" s="3" t="inlineStr">
        <is>
          <t>fuel_routing</t>
        </is>
      </c>
      <c r="E21" s="4" t="inlineStr">
        <is>
          <t>LCP fuel = auxiliary burners</t>
        </is>
      </c>
    </row>
    <row r="22">
      <c r="A22" s="2" t="inlineStr">
        <is>
          <t>^5\(d\)$</t>
        </is>
      </c>
      <c r="B22" s="2" t="inlineStr">
        <is>
          <t>Landfill / other waste</t>
        </is>
      </c>
      <c r="C22" s="3" t="n">
        <v>1</v>
      </c>
      <c r="D22" s="3" t="inlineStr">
        <is>
          <t>fuel_routing</t>
        </is>
      </c>
      <c r="E22" s="4" t="inlineStr">
        <is>
          <t>LCP fuel = auxiliary</t>
        </is>
      </c>
    </row>
    <row r="23">
      <c r="A23" s="2" t="inlineStr">
        <is>
          <t>^5\(f\)$</t>
        </is>
      </c>
      <c r="B23" s="2" t="inlineStr">
        <is>
          <t>Waste — other</t>
        </is>
      </c>
      <c r="C23" s="3" t="n">
        <v>1</v>
      </c>
      <c r="D23" s="3" t="inlineStr">
        <is>
          <t>fuel_routing</t>
        </is>
      </c>
      <c r="E23" s="4" t="inlineStr">
        <is>
          <t>LCP fuel = auxiliary</t>
        </is>
      </c>
    </row>
    <row r="24">
      <c r="A24" s="2" t="inlineStr">
        <is>
          <t>^5\(g\)$</t>
        </is>
      </c>
      <c r="B24" s="2" t="inlineStr">
        <is>
          <t>Waste — other</t>
        </is>
      </c>
      <c r="C24" s="3" t="n">
        <v>1</v>
      </c>
      <c r="D24" s="3" t="inlineStr">
        <is>
          <t>fuel_routing</t>
        </is>
      </c>
      <c r="E24" s="4" t="inlineStr">
        <is>
          <t>LCP fuel = auxiliary</t>
        </is>
      </c>
    </row>
    <row r="25">
      <c r="A25" s="2" t="inlineStr">
        <is>
          <t>^6\(a\)</t>
        </is>
      </c>
      <c r="B25" s="2" t="inlineStr">
        <is>
          <t>Pulp &amp; paper</t>
        </is>
      </c>
      <c r="C25" s="3" t="n">
        <v>1</v>
      </c>
      <c r="D25" s="3" t="inlineStr">
        <is>
          <t>tech_split</t>
        </is>
      </c>
      <c r="E25" s="4" t="inlineStr">
        <is>
          <t>Recovery boiler excluded by Art 28; substitutable = lime kiln+aux</t>
        </is>
      </c>
    </row>
    <row r="26">
      <c r="A26" s="2" t="inlineStr">
        <is>
          <t>^6\(b\)</t>
        </is>
      </c>
      <c r="B26" s="2" t="inlineStr">
        <is>
          <t>Wood products / panels</t>
        </is>
      </c>
      <c r="C26" s="3" t="n">
        <v>1</v>
      </c>
      <c r="D26" s="3" t="inlineStr">
        <is>
          <t>tech_split</t>
        </is>
      </c>
      <c r="E26" s="4" t="inlineStr">
        <is>
          <t>Combustion for heat</t>
        </is>
      </c>
    </row>
    <row r="27">
      <c r="A27" s="2" t="inlineStr">
        <is>
          <t>^8\(b\)</t>
        </is>
      </c>
      <c r="B27" s="2" t="inlineStr">
        <is>
          <t>Sugar production</t>
        </is>
      </c>
      <c r="C27" s="3" t="n">
        <v>1</v>
      </c>
      <c r="D27" s="3" t="inlineStr">
        <is>
          <t>tech_split</t>
        </is>
      </c>
      <c r="E27" s="4" t="inlineStr">
        <is>
          <t>Steam-intensive; combustion for heat</t>
        </is>
      </c>
    </row>
    <row r="28">
      <c r="A28" s="2" t="inlineStr">
        <is>
          <t>^8\(c\)</t>
        </is>
      </c>
      <c r="B28" s="2" t="inlineStr">
        <is>
          <t>Dairy / food processing</t>
        </is>
      </c>
      <c r="C28" s="3" t="n">
        <v>1</v>
      </c>
      <c r="D28" s="3" t="inlineStr">
        <is>
          <t>tech_split</t>
        </is>
      </c>
      <c r="E28" s="4" t="inlineStr">
        <is>
          <t>Combustion for heat</t>
        </is>
      </c>
    </row>
    <row r="29">
      <c r="A29" s="2" t="inlineStr">
        <is>
          <t>^9\(c\)</t>
        </is>
      </c>
      <c r="B29" s="2" t="inlineStr">
        <is>
          <t>Tanning / other</t>
        </is>
      </c>
      <c r="C29" s="3" t="n">
        <v>1</v>
      </c>
      <c r="D29" s="3" t="inlineStr">
        <is>
          <t>tech_split</t>
        </is>
      </c>
      <c r="E29" s="4" t="inlineStr">
        <is>
          <t>Combustion for heat</t>
        </is>
      </c>
    </row>
    <row r="30">
      <c r="A30" s="2" t="inlineStr">
        <is>
          <t>^1\(c\)</t>
        </is>
      </c>
      <c r="B30" s="2" t="inlineStr">
        <is>
          <t>EXCLUDE — power stations</t>
        </is>
      </c>
      <c r="C30" s="3" t="n">
        <v>0</v>
      </c>
      <c r="D30" s="3" t="inlineStr">
        <is>
          <t>tech_split</t>
        </is>
      </c>
      <c r="E30" s="4" t="inlineStr">
        <is>
          <t>Fuel used for electricity not heat; out of scope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9" customWidth="1" min="4" max="4"/>
    <col width="11" customWidth="1" min="5" max="5"/>
    <col width="11" customWidth="1" min="6" max="6"/>
    <col width="60" customWidth="1" min="7" max="7"/>
  </cols>
  <sheetData>
    <row r="1">
      <c r="A1" s="1" t="inlineStr">
        <is>
          <t>activity_pattern</t>
        </is>
      </c>
      <c r="B1" s="1" t="inlineStr">
        <is>
          <t>technology</t>
        </is>
      </c>
      <c r="C1" s="1" t="inlineStr">
        <is>
          <t>split_fraction</t>
        </is>
      </c>
      <c r="D1" s="1" t="inlineStr">
        <is>
          <t>epsilon</t>
        </is>
      </c>
      <c r="E1" s="1" t="inlineStr">
        <is>
          <t>min_temp_C</t>
        </is>
      </c>
      <c r="F1" s="1" t="inlineStr">
        <is>
          <t>max_temp_C</t>
        </is>
      </c>
      <c r="G1" s="1" t="inlineStr">
        <is>
          <t>source</t>
        </is>
      </c>
    </row>
    <row r="2">
      <c r="A2" s="2" t="inlineStr">
        <is>
          <t>^1\(a\)$</t>
        </is>
      </c>
      <c r="B2" s="2" t="inlineStr">
        <is>
          <t>Process furnaces/heaters</t>
        </is>
      </c>
      <c r="C2" s="3" t="n">
        <v>0.55</v>
      </c>
      <c r="D2" s="3" t="n">
        <v>0.85</v>
      </c>
      <c r="E2" s="3" t="n">
        <v>300</v>
      </c>
      <c r="F2" s="3" t="n">
        <v>550</v>
      </c>
      <c r="G2" s="4" t="inlineStr">
        <is>
          <t>REF BREF 2017 (&gt;85% well-maintained heaters); split=user judgement</t>
        </is>
      </c>
    </row>
    <row r="3">
      <c r="A3" s="2" t="inlineStr">
        <is>
          <t>^1\(a\)$</t>
        </is>
      </c>
      <c r="B3" s="2" t="inlineStr">
        <is>
          <t>Steam boilers</t>
        </is>
      </c>
      <c r="C3" s="3" t="n">
        <v>0.25</v>
      </c>
      <c r="D3" s="3" t="n">
        <v>0.9</v>
      </c>
      <c r="E3" s="3" t="n">
        <v>150</v>
      </c>
      <c r="F3" s="3" t="n">
        <v>250</v>
      </c>
      <c r="G3" s="4" t="inlineStr">
        <is>
          <t>REF BREF 2017 (up to 93% w/ air preheat)</t>
        </is>
      </c>
    </row>
    <row r="4">
      <c r="A4" s="2" t="inlineStr">
        <is>
          <t>^1\(a\)$</t>
        </is>
      </c>
      <c r="B4" s="2" t="inlineStr">
        <is>
          <t>CHP turbines (heat frac)</t>
        </is>
      </c>
      <c r="C4" s="3" t="n">
        <v>0.2</v>
      </c>
      <c r="D4" s="3" t="n">
        <v>0.4</v>
      </c>
      <c r="E4" s="3" t="n">
        <v>150</v>
      </c>
      <c r="F4" s="3" t="n">
        <v>250</v>
      </c>
      <c r="G4" s="4" t="inlineStr">
        <is>
          <t>Heat fraction of CHP; split=user judgement (verify vs site data)</t>
        </is>
      </c>
    </row>
    <row r="5">
      <c r="A5" s="2" t="inlineStr">
        <is>
          <t>^1\(b\)$</t>
        </is>
      </c>
      <c r="B5" s="2" t="inlineStr">
        <is>
          <t>By-product recovery boilers</t>
        </is>
      </c>
      <c r="C5" s="3" t="n">
        <v>1</v>
      </c>
      <c r="D5" s="3" t="n">
        <v>0.85</v>
      </c>
      <c r="E5" s="3" t="n">
        <v>150</v>
      </c>
      <c r="F5" s="3" t="n">
        <v>300</v>
      </c>
      <c r="G5" s="4" t="inlineStr">
        <is>
          <t>Coke battery excluded Art 28(f); LCP=recovery boilers</t>
        </is>
      </c>
    </row>
    <row r="6">
      <c r="A6" s="2" t="inlineStr">
        <is>
          <t>^3\(a\)</t>
        </is>
      </c>
      <c r="B6" s="2" t="inlineStr">
        <is>
          <t>Rotary kiln (direct)</t>
        </is>
      </c>
      <c r="C6" s="3" t="n">
        <v>0.95</v>
      </c>
      <c r="D6" s="3" t="n">
        <v>0.75</v>
      </c>
      <c r="E6" s="3" t="n">
        <v>1200</v>
      </c>
      <c r="F6" s="3" t="n">
        <v>1450</v>
      </c>
      <c r="G6" s="4" t="inlineStr">
        <is>
          <t>Cement BREF 2013; Liu et al. 2015</t>
        </is>
      </c>
    </row>
    <row r="7">
      <c r="A7" s="2" t="inlineStr">
        <is>
          <t>^3\(a\)</t>
        </is>
      </c>
      <c r="B7" s="2" t="inlineStr">
        <is>
          <t>Utility boilers</t>
        </is>
      </c>
      <c r="C7" s="3" t="n">
        <v>0.05</v>
      </c>
      <c r="D7" s="3" t="n">
        <v>0.85</v>
      </c>
      <c r="E7" s="3" t="n">
        <v>100</v>
      </c>
      <c r="F7" s="3" t="n">
        <v>200</v>
      </c>
      <c r="G7" s="4" t="inlineStr">
        <is>
          <t>Standard gas boiler</t>
        </is>
      </c>
    </row>
    <row r="8">
      <c r="A8" s="2" t="inlineStr">
        <is>
          <t>^3\(b\)</t>
        </is>
      </c>
      <c r="B8" s="2" t="inlineStr">
        <is>
          <t>Shaft/rotary kiln</t>
        </is>
      </c>
      <c r="C8" s="3" t="n">
        <v>0.95</v>
      </c>
      <c r="D8" s="3" t="n">
        <v>0.78</v>
      </c>
      <c r="E8" s="3" t="n">
        <v>900</v>
      </c>
      <c r="F8" s="3" t="n">
        <v>1200</v>
      </c>
      <c r="G8" s="4" t="inlineStr">
        <is>
          <t>Lime BREF 2013 (PFR shaft ~0.80, rotary ~0.72)</t>
        </is>
      </c>
    </row>
    <row r="9">
      <c r="A9" s="2" t="inlineStr">
        <is>
          <t>^3\(b\)</t>
        </is>
      </c>
      <c r="B9" s="2" t="inlineStr">
        <is>
          <t>Utility boilers</t>
        </is>
      </c>
      <c r="C9" s="3" t="n">
        <v>0.05</v>
      </c>
      <c r="D9" s="3" t="n">
        <v>0.85</v>
      </c>
      <c r="E9" s="3" t="n">
        <v>100</v>
      </c>
      <c r="F9" s="3" t="n">
        <v>200</v>
      </c>
      <c r="G9" s="4" t="inlineStr">
        <is>
          <t>Standard gas boiler</t>
        </is>
      </c>
    </row>
    <row r="10">
      <c r="A10" s="2" t="inlineStr">
        <is>
          <t>^3\(c\)</t>
        </is>
      </c>
      <c r="B10" s="2" t="inlineStr">
        <is>
          <t>Regenerative melting furnace</t>
        </is>
      </c>
      <c r="C10" s="3" t="n">
        <v>0.9</v>
      </c>
      <c r="D10" s="3" t="n">
        <v>0.5</v>
      </c>
      <c r="E10" s="3" t="n">
        <v>1400</v>
      </c>
      <c r="F10" s="3" t="n">
        <v>1600</v>
      </c>
      <c r="G10" s="4" t="inlineStr">
        <is>
          <t>Glass BREF 2012 (regen net 0.45-0.55)</t>
        </is>
      </c>
    </row>
    <row r="11">
      <c r="A11" s="2" t="inlineStr">
        <is>
          <t>^3\(c\)</t>
        </is>
      </c>
      <c r="B11" s="2" t="inlineStr">
        <is>
          <t>Utility boilers</t>
        </is>
      </c>
      <c r="C11" s="3" t="n">
        <v>0.1</v>
      </c>
      <c r="D11" s="3" t="n">
        <v>0.88</v>
      </c>
      <c r="E11" s="3" t="n">
        <v>100</v>
      </c>
      <c r="F11" s="3" t="n">
        <v>200</v>
      </c>
      <c r="G11" s="4" t="inlineStr">
        <is>
          <t>Standard gas boiler</t>
        </is>
      </c>
    </row>
    <row r="12">
      <c r="A12" s="2" t="inlineStr">
        <is>
          <t>^3\(e\)</t>
        </is>
      </c>
      <c r="B12" s="2" t="inlineStr">
        <is>
          <t>Tank/cupola furnace</t>
        </is>
      </c>
      <c r="C12" s="3" t="n">
        <v>0.85</v>
      </c>
      <c r="D12" s="3" t="n">
        <v>0.68</v>
      </c>
      <c r="E12" s="3" t="n">
        <v>1400</v>
      </c>
      <c r="F12" s="3" t="n">
        <v>1550</v>
      </c>
      <c r="G12" s="4" t="inlineStr">
        <is>
          <t>Mineral Wool BREF 2001</t>
        </is>
      </c>
    </row>
    <row r="13">
      <c r="A13" s="2" t="inlineStr">
        <is>
          <t>^3\(e\)</t>
        </is>
      </c>
      <c r="B13" s="2" t="inlineStr">
        <is>
          <t>Steam boilers</t>
        </is>
      </c>
      <c r="C13" s="3" t="n">
        <v>0.15</v>
      </c>
      <c r="D13" s="3" t="n">
        <v>0.85</v>
      </c>
      <c r="E13" s="3" t="n">
        <v>100</v>
      </c>
      <c r="F13" s="3" t="n">
        <v>200</v>
      </c>
      <c r="G13" s="4" t="inlineStr">
        <is>
          <t>Standard boiler</t>
        </is>
      </c>
    </row>
    <row r="14">
      <c r="A14" s="2" t="inlineStr">
        <is>
          <t>^3\(f\)</t>
        </is>
      </c>
      <c r="B14" s="2" t="inlineStr">
        <is>
          <t>Process heat</t>
        </is>
      </c>
      <c r="C14" s="3" t="n">
        <v>1</v>
      </c>
      <c r="D14" s="3" t="n">
        <v>0.8</v>
      </c>
      <c r="E14" s="3" t="n">
        <v>100</v>
      </c>
      <c r="F14" s="3" t="n">
        <v>400</v>
      </c>
      <c r="G14" s="4" t="inlineStr">
        <is>
          <t>Default</t>
        </is>
      </c>
    </row>
    <row r="15">
      <c r="A15" s="2" t="inlineStr">
        <is>
          <t>^4\(a\)</t>
        </is>
      </c>
      <c r="B15" s="2" t="inlineStr">
        <is>
          <t>Process furnaces/crackers</t>
        </is>
      </c>
      <c r="C15" s="3" t="n">
        <v>0.45</v>
      </c>
      <c r="D15" s="3" t="n">
        <v>0.8</v>
      </c>
      <c r="E15" s="3" t="n">
        <v>300</v>
      </c>
      <c r="F15" s="3" t="n">
        <v>900</v>
      </c>
      <c r="G15" s="4" t="inlineStr">
        <is>
          <t>LVOC BREF 2017: &gt;90% of cracker energy from fuel combustion; furnace eps ~0.80; SPLIT IS ASSUMED (no BREF sector split exists)</t>
        </is>
      </c>
    </row>
    <row r="16">
      <c r="A16" s="2" t="inlineStr">
        <is>
          <t>^4\(a\)</t>
        </is>
      </c>
      <c r="B16" s="2" t="inlineStr">
        <is>
          <t>Steam boilers</t>
        </is>
      </c>
      <c r="C16" s="3" t="n">
        <v>0.3</v>
      </c>
      <c r="D16" s="3" t="n">
        <v>0.9</v>
      </c>
      <c r="E16" s="3" t="n">
        <v>150</v>
      </c>
      <c r="F16" s="3" t="n">
        <v>250</v>
      </c>
      <c r="G16" s="4" t="inlineStr">
        <is>
          <t>LCP BREF 2017 boiler eff; SPLIT ASSUMED</t>
        </is>
      </c>
    </row>
    <row r="17">
      <c r="A17" s="2" t="inlineStr">
        <is>
          <t>^4\(a\)</t>
        </is>
      </c>
      <c r="B17" s="2" t="inlineStr">
        <is>
          <t>CHP turbines (heat frac)</t>
        </is>
      </c>
      <c r="C17" s="3" t="n">
        <v>0.25</v>
      </c>
      <c r="D17" s="3" t="n">
        <v>0.4</v>
      </c>
      <c r="E17" s="3" t="n">
        <v>150</v>
      </c>
      <c r="F17" s="3" t="n">
        <v>250</v>
      </c>
      <c r="G17" s="4" t="inlineStr">
        <is>
          <t>SPLIT ASSUMED — verify against facility data</t>
        </is>
      </c>
    </row>
    <row r="18">
      <c r="A18" s="2" t="inlineStr">
        <is>
          <t>^4\(b\)</t>
        </is>
      </c>
      <c r="B18" s="2" t="inlineStr">
        <is>
          <t>Steam boilers</t>
        </is>
      </c>
      <c r="C18" s="3" t="n">
        <v>0.4</v>
      </c>
      <c r="D18" s="3" t="n">
        <v>0.88</v>
      </c>
      <c r="E18" s="3" t="n">
        <v>150</v>
      </c>
      <c r="F18" s="3" t="n">
        <v>250</v>
      </c>
      <c r="G18" s="4" t="inlineStr">
        <is>
          <t>Chemicals; SPLIT ASSUMED</t>
        </is>
      </c>
    </row>
    <row r="19">
      <c r="A19" s="2" t="inlineStr">
        <is>
          <t>^4\(b\)</t>
        </is>
      </c>
      <c r="B19" s="2" t="inlineStr">
        <is>
          <t>Process furnaces</t>
        </is>
      </c>
      <c r="C19" s="3" t="n">
        <v>0.3</v>
      </c>
      <c r="D19" s="3" t="n">
        <v>0.8</v>
      </c>
      <c r="E19" s="3" t="n">
        <v>300</v>
      </c>
      <c r="F19" s="3" t="n">
        <v>900</v>
      </c>
      <c r="G19" s="4" t="inlineStr">
        <is>
          <t>SPLIT ASSUMED</t>
        </is>
      </c>
    </row>
    <row r="20">
      <c r="A20" s="2" t="inlineStr">
        <is>
          <t>^4\(b\)</t>
        </is>
      </c>
      <c r="B20" s="2" t="inlineStr">
        <is>
          <t>CHP turbines (heat frac)</t>
        </is>
      </c>
      <c r="C20" s="3" t="n">
        <v>0.3</v>
      </c>
      <c r="D20" s="3" t="n">
        <v>0.4</v>
      </c>
      <c r="E20" s="3" t="n">
        <v>150</v>
      </c>
      <c r="F20" s="3" t="n">
        <v>250</v>
      </c>
      <c r="G20" s="4" t="inlineStr">
        <is>
          <t>SPLIT ASSUMED</t>
        </is>
      </c>
    </row>
    <row r="21">
      <c r="A21" s="2" t="inlineStr">
        <is>
          <t>^4\(c\)</t>
        </is>
      </c>
      <c r="B21" s="2" t="inlineStr">
        <is>
          <t>Steam boilers</t>
        </is>
      </c>
      <c r="C21" s="3" t="n">
        <v>0.5</v>
      </c>
      <c r="D21" s="3" t="n">
        <v>0.88</v>
      </c>
      <c r="E21" s="3" t="n">
        <v>150</v>
      </c>
      <c r="F21" s="3" t="n">
        <v>250</v>
      </c>
      <c r="G21" s="4" t="inlineStr">
        <is>
          <t>SPLIT ASSUMED</t>
        </is>
      </c>
    </row>
    <row r="22">
      <c r="A22" s="2" t="inlineStr">
        <is>
          <t>^4\(c\)</t>
        </is>
      </c>
      <c r="B22" s="2" t="inlineStr">
        <is>
          <t>Process furnaces</t>
        </is>
      </c>
      <c r="C22" s="3" t="n">
        <v>0.3</v>
      </c>
      <c r="D22" s="3" t="n">
        <v>0.8</v>
      </c>
      <c r="E22" s="3" t="n">
        <v>300</v>
      </c>
      <c r="F22" s="3" t="n">
        <v>900</v>
      </c>
      <c r="G22" s="4" t="inlineStr">
        <is>
          <t>SPLIT ASSUMED</t>
        </is>
      </c>
    </row>
    <row r="23">
      <c r="A23" s="2" t="inlineStr">
        <is>
          <t>^4\(c\)</t>
        </is>
      </c>
      <c r="B23" s="2" t="inlineStr">
        <is>
          <t>CHP turbines (heat frac)</t>
        </is>
      </c>
      <c r="C23" s="3" t="n">
        <v>0.2</v>
      </c>
      <c r="D23" s="3" t="n">
        <v>0.4</v>
      </c>
      <c r="E23" s="3" t="n">
        <v>150</v>
      </c>
      <c r="F23" s="3" t="n">
        <v>250</v>
      </c>
      <c r="G23" s="4" t="inlineStr">
        <is>
          <t>SPLIT ASSUMED</t>
        </is>
      </c>
    </row>
    <row r="24">
      <c r="A24" s="2" t="inlineStr">
        <is>
          <t>^4\(e\)</t>
        </is>
      </c>
      <c r="B24" s="2" t="inlineStr">
        <is>
          <t>Process heat</t>
        </is>
      </c>
      <c r="C24" s="3" t="n">
        <v>1</v>
      </c>
      <c r="D24" s="3" t="n">
        <v>0.85</v>
      </c>
      <c r="E24" s="3" t="n">
        <v>100</v>
      </c>
      <c r="F24" s="3" t="n">
        <v>400</v>
      </c>
      <c r="G24" s="4" t="inlineStr">
        <is>
          <t>Default</t>
        </is>
      </c>
    </row>
    <row r="25">
      <c r="A25" s="2" t="inlineStr">
        <is>
          <t>^6\(a\)</t>
        </is>
      </c>
      <c r="B25" s="2" t="inlineStr">
        <is>
          <t>Lime kilns (gas-fired)</t>
        </is>
      </c>
      <c r="C25" s="3" t="n">
        <v>0.4</v>
      </c>
      <c r="D25" s="3" t="n">
        <v>0.78</v>
      </c>
      <c r="E25" s="3" t="n">
        <v>900</v>
      </c>
      <c r="F25" s="3" t="n">
        <v>1100</v>
      </c>
      <c r="G25" s="4" t="inlineStr">
        <is>
          <t>Pulp &amp; Paper BREF 2015; recovery boiler excluded Art 28</t>
        </is>
      </c>
    </row>
    <row r="26">
      <c r="A26" s="2" t="inlineStr">
        <is>
          <t>^6\(a\)</t>
        </is>
      </c>
      <c r="B26" s="2" t="inlineStr">
        <is>
          <t>Backup gas/coal boilers</t>
        </is>
      </c>
      <c r="C26" s="3" t="n">
        <v>0.6</v>
      </c>
      <c r="D26" s="3" t="n">
        <v>0.9</v>
      </c>
      <c r="E26" s="3" t="n">
        <v>100</v>
      </c>
      <c r="F26" s="3" t="n">
        <v>200</v>
      </c>
      <c r="G26" s="4" t="inlineStr">
        <is>
          <t>Standard boiler</t>
        </is>
      </c>
    </row>
    <row r="27">
      <c r="A27" s="2" t="inlineStr">
        <is>
          <t>^6\(b\)</t>
        </is>
      </c>
      <c r="B27" s="2" t="inlineStr">
        <is>
          <t>Steam boilers/thermal oil</t>
        </is>
      </c>
      <c r="C27" s="3" t="n">
        <v>0.45</v>
      </c>
      <c r="D27" s="3" t="n">
        <v>0.82</v>
      </c>
      <c r="E27" s="3" t="n">
        <v>150</v>
      </c>
      <c r="F27" s="3" t="n">
        <v>250</v>
      </c>
      <c r="G27" s="4" t="inlineStr">
        <is>
          <t>Wood-Based Panels BREF 2015</t>
        </is>
      </c>
    </row>
    <row r="28">
      <c r="A28" s="2" t="inlineStr">
        <is>
          <t>^6\(b\)</t>
        </is>
      </c>
      <c r="B28" s="2" t="inlineStr">
        <is>
          <t>Direct-fired dryers</t>
        </is>
      </c>
      <c r="C28" s="3" t="n">
        <v>0.35</v>
      </c>
      <c r="D28" s="3" t="n">
        <v>0.75</v>
      </c>
      <c r="E28" s="3" t="n">
        <v>150</v>
      </c>
      <c r="F28" s="3" t="n">
        <v>250</v>
      </c>
      <c r="G28" s="4" t="inlineStr">
        <is>
          <t>Panel drying</t>
        </is>
      </c>
    </row>
    <row r="29">
      <c r="A29" s="2" t="inlineStr">
        <is>
          <t>^6\(b\)</t>
        </is>
      </c>
      <c r="B29" s="2" t="inlineStr">
        <is>
          <t>CHP (heat frac)</t>
        </is>
      </c>
      <c r="C29" s="3" t="n">
        <v>0.2</v>
      </c>
      <c r="D29" s="3" t="n">
        <v>0.4</v>
      </c>
      <c r="E29" s="3" t="n">
        <v>150</v>
      </c>
      <c r="F29" s="3" t="n">
        <v>250</v>
      </c>
      <c r="G29" s="4" t="inlineStr">
        <is>
          <t>SPLIT ASSUMED</t>
        </is>
      </c>
    </row>
    <row r="30">
      <c r="A30" s="2" t="inlineStr">
        <is>
          <t>^8\(b\)</t>
        </is>
      </c>
      <c r="B30" s="2" t="inlineStr">
        <is>
          <t>Steam boilers</t>
        </is>
      </c>
      <c r="C30" s="3" t="n">
        <v>0.5</v>
      </c>
      <c r="D30" s="3" t="n">
        <v>0.88</v>
      </c>
      <c r="E30" s="3" t="n">
        <v>100</v>
      </c>
      <c r="F30" s="3" t="n">
        <v>180</v>
      </c>
      <c r="G30" s="4" t="inlineStr">
        <is>
          <t>Food &amp; Drink BREF 2019</t>
        </is>
      </c>
    </row>
    <row r="31">
      <c r="A31" s="2" t="inlineStr">
        <is>
          <t>^8\(b\)</t>
        </is>
      </c>
      <c r="B31" s="2" t="inlineStr">
        <is>
          <t>CHP back-pressure (heat)</t>
        </is>
      </c>
      <c r="C31" s="3" t="n">
        <v>0.4</v>
      </c>
      <c r="D31" s="3" t="n">
        <v>0.4</v>
      </c>
      <c r="E31" s="3" t="n">
        <v>100</v>
      </c>
      <c r="F31" s="3" t="n">
        <v>180</v>
      </c>
      <c r="G31" s="4" t="inlineStr">
        <is>
          <t>Near-universal in EU beet sugar</t>
        </is>
      </c>
    </row>
    <row r="32">
      <c r="A32" s="2" t="inlineStr">
        <is>
          <t>^8\(b\)</t>
        </is>
      </c>
      <c r="B32" s="2" t="inlineStr">
        <is>
          <t>Direct dryers</t>
        </is>
      </c>
      <c r="C32" s="3" t="n">
        <v>0.1</v>
      </c>
      <c r="D32" s="3" t="n">
        <v>0.75</v>
      </c>
      <c r="E32" s="3" t="n">
        <v>150</v>
      </c>
      <c r="F32" s="3" t="n">
        <v>250</v>
      </c>
      <c r="G32" s="4" t="inlineStr">
        <is>
          <t>Pulp drying</t>
        </is>
      </c>
    </row>
    <row r="33">
      <c r="A33" s="2" t="inlineStr">
        <is>
          <t>^8\(c\)</t>
        </is>
      </c>
      <c r="B33" s="2" t="inlineStr">
        <is>
          <t>Steam boilers</t>
        </is>
      </c>
      <c r="C33" s="3" t="n">
        <v>0.65</v>
      </c>
      <c r="D33" s="3" t="n">
        <v>0.88</v>
      </c>
      <c r="E33" s="3" t="n">
        <v>70</v>
      </c>
      <c r="F33" s="3" t="n">
        <v>150</v>
      </c>
      <c r="G33" s="4" t="inlineStr">
        <is>
          <t>Food &amp; Drink BREF 2019</t>
        </is>
      </c>
    </row>
    <row r="34">
      <c r="A34" s="2" t="inlineStr">
        <is>
          <t>^8\(c\)</t>
        </is>
      </c>
      <c r="B34" s="2" t="inlineStr">
        <is>
          <t>Direct process heat</t>
        </is>
      </c>
      <c r="C34" s="3" t="n">
        <v>0.25</v>
      </c>
      <c r="D34" s="3" t="n">
        <v>0.75</v>
      </c>
      <c r="E34" s="3" t="n">
        <v>100</v>
      </c>
      <c r="F34" s="3" t="n">
        <v>200</v>
      </c>
      <c r="G34" s="4" t="inlineStr">
        <is>
          <t>Spray drying</t>
        </is>
      </c>
    </row>
    <row r="35">
      <c r="A35" s="2" t="inlineStr">
        <is>
          <t>^8\(c\)</t>
        </is>
      </c>
      <c r="B35" s="2" t="inlineStr">
        <is>
          <t>CHP (heat frac)</t>
        </is>
      </c>
      <c r="C35" s="3" t="n">
        <v>0.1</v>
      </c>
      <c r="D35" s="3" t="n">
        <v>0.4</v>
      </c>
      <c r="E35" s="3" t="n">
        <v>100</v>
      </c>
      <c r="F35" s="3" t="n">
        <v>150</v>
      </c>
      <c r="G35" s="4" t="inlineStr">
        <is>
          <t>SPLIT ASSUMED</t>
        </is>
      </c>
    </row>
    <row r="36">
      <c r="A36" s="2" t="inlineStr">
        <is>
          <t>^9\(c\)</t>
        </is>
      </c>
      <c r="B36" s="2" t="inlineStr">
        <is>
          <t>Steam/hot water boilers</t>
        </is>
      </c>
      <c r="C36" s="3" t="n">
        <v>0.7</v>
      </c>
      <c r="D36" s="3" t="n">
        <v>0.88</v>
      </c>
      <c r="E36" s="3" t="n">
        <v>70</v>
      </c>
      <c r="F36" s="3" t="n">
        <v>150</v>
      </c>
      <c r="G36" s="4" t="inlineStr">
        <is>
          <t>Default boiler</t>
        </is>
      </c>
    </row>
    <row r="37">
      <c r="A37" s="2" t="inlineStr">
        <is>
          <t>^9\(c\)</t>
        </is>
      </c>
      <c r="B37" s="2" t="inlineStr">
        <is>
          <t>Direct drying chambers</t>
        </is>
      </c>
      <c r="C37" s="3" t="n">
        <v>0.3</v>
      </c>
      <c r="D37" s="3" t="n">
        <v>0.75</v>
      </c>
      <c r="E37" s="3" t="n">
        <v>100</v>
      </c>
      <c r="F37" s="3" t="n">
        <v>150</v>
      </c>
      <c r="G37" s="4" t="inlineStr">
        <is>
          <t>Drying</t>
        </is>
      </c>
    </row>
    <row r="38">
      <c r="A38" s="2" t="inlineStr">
        <is>
          <t>^1\(c\)</t>
        </is>
      </c>
      <c r="B38" s="2" t="inlineStr">
        <is>
          <t>Power generation (excluded)</t>
        </is>
      </c>
      <c r="C38" s="3" t="n">
        <v>1</v>
      </c>
      <c r="D38" s="3" t="n">
        <v>0</v>
      </c>
      <c r="E38" s="3" t="n">
        <v>0</v>
      </c>
      <c r="F38" s="3" t="n">
        <v>0</v>
      </c>
      <c r="G38" s="4" t="inlineStr">
        <is>
          <t>Out of scope — electricity not heat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8" customWidth="1" min="3" max="3"/>
    <col width="9" customWidth="1" min="4" max="4"/>
    <col width="11" customWidth="1" min="5" max="5"/>
    <col width="11" customWidth="1" min="6" max="6"/>
    <col width="56" customWidth="1" min="7" max="7"/>
  </cols>
  <sheetData>
    <row r="1">
      <c r="A1" s="1" t="inlineStr">
        <is>
          <t>activity_pattern</t>
        </is>
      </c>
      <c r="B1" s="1" t="inlineStr">
        <is>
          <t>fuel</t>
        </is>
      </c>
      <c r="C1" s="1" t="inlineStr">
        <is>
          <t>technology</t>
        </is>
      </c>
      <c r="D1" s="1" t="inlineStr">
        <is>
          <t>epsilon</t>
        </is>
      </c>
      <c r="E1" s="1" t="inlineStr">
        <is>
          <t>min_temp_C</t>
        </is>
      </c>
      <c r="F1" s="1" t="inlineStr">
        <is>
          <t>max_temp_C</t>
        </is>
      </c>
      <c r="G1" s="1" t="inlineStr">
        <is>
          <t>source</t>
        </is>
      </c>
    </row>
    <row r="2">
      <c r="A2" s="2" t="inlineStr">
        <is>
          <t>^2\(b\)$</t>
        </is>
      </c>
      <c r="B2" s="2" t="inlineStr">
        <is>
          <t>NaturalGas</t>
        </is>
      </c>
      <c r="C2" s="2" t="inlineStr">
        <is>
          <t>Gas boilers / backup CHP</t>
        </is>
      </c>
      <c r="D2" s="3" t="n">
        <v>0.8</v>
      </c>
      <c r="E2" s="3" t="n">
        <v>100</v>
      </c>
      <c r="F2" s="3" t="n">
        <v>250</v>
      </c>
      <c r="G2" s="4" t="inlineStr">
        <is>
          <t>Art 28(a): reheating furnaces &amp; stoves excluded; LCP NG = utility</t>
        </is>
      </c>
    </row>
    <row r="3">
      <c r="A3" s="2" t="inlineStr">
        <is>
          <t>^2\(b\)$</t>
        </is>
      </c>
      <c r="B3" s="2" t="inlineStr">
        <is>
          <t>Coal</t>
        </is>
      </c>
      <c r="C3" s="2" t="inlineStr">
        <is>
          <t>Coal-fired boilers</t>
        </is>
      </c>
      <c r="D3" s="3" t="n">
        <v>0.83</v>
      </c>
      <c r="E3" s="3" t="n">
        <v>100</v>
      </c>
      <c r="F3" s="3" t="n">
        <v>250</v>
      </c>
      <c r="G3" s="4" t="inlineStr">
        <is>
          <t>Art 28: BF &amp; sinter excluded; LCP coal = power boilers</t>
        </is>
      </c>
    </row>
    <row r="4">
      <c r="A4" s="2" t="inlineStr">
        <is>
          <t>^2\(b\)$</t>
        </is>
      </c>
      <c r="B4" s="2" t="inlineStr">
        <is>
          <t>Lignite</t>
        </is>
      </c>
      <c r="C4" s="2" t="inlineStr">
        <is>
          <t>Lignite boilers</t>
        </is>
      </c>
      <c r="D4" s="3" t="n">
        <v>0.83</v>
      </c>
      <c r="E4" s="3" t="n">
        <v>100</v>
      </c>
      <c r="F4" s="3" t="n">
        <v>250</v>
      </c>
      <c r="G4" s="4" t="inlineStr">
        <is>
          <t>LCP utility boilers</t>
        </is>
      </c>
    </row>
    <row r="5">
      <c r="A5" s="2" t="inlineStr">
        <is>
          <t>^2\(b\)$</t>
        </is>
      </c>
      <c r="B5" s="2" t="inlineStr">
        <is>
          <t>OtherSolidFuels</t>
        </is>
      </c>
      <c r="C5" s="2" t="inlineStr">
        <is>
          <t>Solid-fuel boilers</t>
        </is>
      </c>
      <c r="D5" s="3" t="n">
        <v>0.82</v>
      </c>
      <c r="E5" s="3" t="n">
        <v>100</v>
      </c>
      <c r="F5" s="3" t="n">
        <v>250</v>
      </c>
      <c r="G5" s="4" t="inlineStr">
        <is>
          <t>LCP utility boilers</t>
        </is>
      </c>
    </row>
    <row r="6">
      <c r="A6" s="2" t="inlineStr">
        <is>
          <t>^2\(b\)$</t>
        </is>
      </c>
      <c r="B6" s="2" t="inlineStr">
        <is>
          <t>LiquidFuels</t>
        </is>
      </c>
      <c r="C6" s="2" t="inlineStr">
        <is>
          <t>Oil-fired aux boilers</t>
        </is>
      </c>
      <c r="D6" s="3" t="n">
        <v>0.85</v>
      </c>
      <c r="E6" s="3" t="n">
        <v>100</v>
      </c>
      <c r="F6" s="3" t="n">
        <v>250</v>
      </c>
      <c r="G6" s="4" t="inlineStr">
        <is>
          <t>LCP auxiliary boilers</t>
        </is>
      </c>
    </row>
    <row r="7">
      <c r="A7" s="2" t="inlineStr">
        <is>
          <t>^2\(b\)$</t>
        </is>
      </c>
      <c r="B7" s="2" t="inlineStr">
        <is>
          <t>Peat</t>
        </is>
      </c>
      <c r="C7" s="2" t="inlineStr">
        <is>
          <t>Peat boilers</t>
        </is>
      </c>
      <c r="D7" s="3" t="n">
        <v>0.82</v>
      </c>
      <c r="E7" s="3" t="n">
        <v>100</v>
      </c>
      <c r="F7" s="3" t="n">
        <v>250</v>
      </c>
      <c r="G7" s="4" t="inlineStr">
        <is>
          <t>LCP utility boilers</t>
        </is>
      </c>
    </row>
    <row r="8">
      <c r="A8" s="2" t="inlineStr">
        <is>
          <t>^2\(a\)$</t>
        </is>
      </c>
      <c r="B8" s="2" t="inlineStr">
        <is>
          <t>NaturalGas</t>
        </is>
      </c>
      <c r="C8" s="2" t="inlineStr">
        <is>
          <t>Gas boilers / CHP</t>
        </is>
      </c>
      <c r="D8" s="3" t="n">
        <v>0.85</v>
      </c>
      <c r="E8" s="3" t="n">
        <v>100</v>
      </c>
      <c r="F8" s="3" t="n">
        <v>250</v>
      </c>
      <c r="G8" s="4" t="inlineStr">
        <is>
          <t>Direct furnaces excluded Art 28(a); LCP=utility</t>
        </is>
      </c>
    </row>
    <row r="9">
      <c r="A9" s="2" t="inlineStr">
        <is>
          <t>^2\(a\)$</t>
        </is>
      </c>
      <c r="B9" s="2" t="inlineStr">
        <is>
          <t>Coal</t>
        </is>
      </c>
      <c r="C9" s="2" t="inlineStr">
        <is>
          <t>Coal boilers</t>
        </is>
      </c>
      <c r="D9" s="3" t="n">
        <v>0.83</v>
      </c>
      <c r="E9" s="3" t="n">
        <v>100</v>
      </c>
      <c r="F9" s="3" t="n">
        <v>250</v>
      </c>
      <c r="G9" s="4" t="inlineStr">
        <is>
          <t>LCP utility boilers</t>
        </is>
      </c>
    </row>
    <row r="10">
      <c r="A10" s="2" t="inlineStr">
        <is>
          <t>^2\(a\)$</t>
        </is>
      </c>
      <c r="B10" s="2" t="inlineStr">
        <is>
          <t>Lignite</t>
        </is>
      </c>
      <c r="C10" s="2" t="inlineStr">
        <is>
          <t>Lignite boilers</t>
        </is>
      </c>
      <c r="D10" s="3" t="n">
        <v>0.83</v>
      </c>
      <c r="E10" s="3" t="n">
        <v>100</v>
      </c>
      <c r="F10" s="3" t="n">
        <v>250</v>
      </c>
      <c r="G10" s="4" t="inlineStr">
        <is>
          <t>LCP utility boilers</t>
        </is>
      </c>
    </row>
    <row r="11">
      <c r="A11" s="2" t="inlineStr">
        <is>
          <t>^2\(a\)$</t>
        </is>
      </c>
      <c r="B11" s="2" t="inlineStr">
        <is>
          <t>OtherSolidFuels</t>
        </is>
      </c>
      <c r="C11" s="2" t="inlineStr">
        <is>
          <t>Utility boilers</t>
        </is>
      </c>
      <c r="D11" s="3" t="n">
        <v>0.83</v>
      </c>
      <c r="E11" s="3" t="n">
        <v>100</v>
      </c>
      <c r="F11" s="3" t="n">
        <v>250</v>
      </c>
      <c r="G11" s="4" t="inlineStr">
        <is>
          <t>LCP utility default</t>
        </is>
      </c>
    </row>
    <row r="12">
      <c r="A12" s="2" t="inlineStr">
        <is>
          <t>^2\(a\)$</t>
        </is>
      </c>
      <c r="B12" s="2" t="inlineStr">
        <is>
          <t>LiquidFuels</t>
        </is>
      </c>
      <c r="C12" s="2" t="inlineStr">
        <is>
          <t>Oil aux boilers</t>
        </is>
      </c>
      <c r="D12" s="3" t="n">
        <v>0.85</v>
      </c>
      <c r="E12" s="3" t="n">
        <v>100</v>
      </c>
      <c r="F12" s="3" t="n">
        <v>250</v>
      </c>
      <c r="G12" s="4" t="inlineStr">
        <is>
          <t>LCP auxiliary</t>
        </is>
      </c>
    </row>
    <row r="13">
      <c r="A13" s="2" t="inlineStr">
        <is>
          <t>^2\(a\)$</t>
        </is>
      </c>
      <c r="B13" s="2" t="inlineStr">
        <is>
          <t>Peat</t>
        </is>
      </c>
      <c r="C13" s="2" t="inlineStr">
        <is>
          <t>Utility boilers</t>
        </is>
      </c>
      <c r="D13" s="3" t="n">
        <v>0.83</v>
      </c>
      <c r="E13" s="3" t="n">
        <v>100</v>
      </c>
      <c r="F13" s="3" t="n">
        <v>250</v>
      </c>
      <c r="G13" s="4" t="inlineStr">
        <is>
          <t>LCP utility default</t>
        </is>
      </c>
    </row>
    <row r="14">
      <c r="A14" s="2" t="inlineStr">
        <is>
          <t>^2\(c\)</t>
        </is>
      </c>
      <c r="B14" s="2" t="inlineStr">
        <is>
          <t>NaturalGas</t>
        </is>
      </c>
      <c r="C14" s="2" t="inlineStr">
        <is>
          <t>Gas boilers / CHP</t>
        </is>
      </c>
      <c r="D14" s="3" t="n">
        <v>0.85</v>
      </c>
      <c r="E14" s="3" t="n">
        <v>100</v>
      </c>
      <c r="F14" s="3" t="n">
        <v>250</v>
      </c>
      <c r="G14" s="4" t="inlineStr">
        <is>
          <t>Direct furnaces excluded Art 28(a); LCP=utility</t>
        </is>
      </c>
    </row>
    <row r="15">
      <c r="A15" s="2" t="inlineStr">
        <is>
          <t>^2\(c\)</t>
        </is>
      </c>
      <c r="B15" s="2" t="inlineStr">
        <is>
          <t>Coal</t>
        </is>
      </c>
      <c r="C15" s="2" t="inlineStr">
        <is>
          <t>Coal boilers</t>
        </is>
      </c>
      <c r="D15" s="3" t="n">
        <v>0.83</v>
      </c>
      <c r="E15" s="3" t="n">
        <v>100</v>
      </c>
      <c r="F15" s="3" t="n">
        <v>250</v>
      </c>
      <c r="G15" s="4" t="inlineStr">
        <is>
          <t>LCP utility boilers</t>
        </is>
      </c>
    </row>
    <row r="16">
      <c r="A16" s="2" t="inlineStr">
        <is>
          <t>^2\(c\)</t>
        </is>
      </c>
      <c r="B16" s="2" t="inlineStr">
        <is>
          <t>Lignite</t>
        </is>
      </c>
      <c r="C16" s="2" t="inlineStr">
        <is>
          <t>Lignite boilers</t>
        </is>
      </c>
      <c r="D16" s="3" t="n">
        <v>0.83</v>
      </c>
      <c r="E16" s="3" t="n">
        <v>100</v>
      </c>
      <c r="F16" s="3" t="n">
        <v>250</v>
      </c>
      <c r="G16" s="4" t="inlineStr">
        <is>
          <t>LCP utility boilers</t>
        </is>
      </c>
    </row>
    <row r="17">
      <c r="A17" s="2" t="inlineStr">
        <is>
          <t>^2\(c\)</t>
        </is>
      </c>
      <c r="B17" s="2" t="inlineStr">
        <is>
          <t>OtherSolidFuels</t>
        </is>
      </c>
      <c r="C17" s="2" t="inlineStr">
        <is>
          <t>Utility boilers</t>
        </is>
      </c>
      <c r="D17" s="3" t="n">
        <v>0.83</v>
      </c>
      <c r="E17" s="3" t="n">
        <v>100</v>
      </c>
      <c r="F17" s="3" t="n">
        <v>250</v>
      </c>
      <c r="G17" s="4" t="inlineStr">
        <is>
          <t>LCP utility default</t>
        </is>
      </c>
    </row>
    <row r="18">
      <c r="A18" s="2" t="inlineStr">
        <is>
          <t>^2\(c\)</t>
        </is>
      </c>
      <c r="B18" s="2" t="inlineStr">
        <is>
          <t>LiquidFuels</t>
        </is>
      </c>
      <c r="C18" s="2" t="inlineStr">
        <is>
          <t>Oil aux boilers</t>
        </is>
      </c>
      <c r="D18" s="3" t="n">
        <v>0.85</v>
      </c>
      <c r="E18" s="3" t="n">
        <v>100</v>
      </c>
      <c r="F18" s="3" t="n">
        <v>250</v>
      </c>
      <c r="G18" s="4" t="inlineStr">
        <is>
          <t>LCP auxiliary</t>
        </is>
      </c>
    </row>
    <row r="19">
      <c r="A19" s="2" t="inlineStr">
        <is>
          <t>^2\(c\)</t>
        </is>
      </c>
      <c r="B19" s="2" t="inlineStr">
        <is>
          <t>Peat</t>
        </is>
      </c>
      <c r="C19" s="2" t="inlineStr">
        <is>
          <t>Utility boilers</t>
        </is>
      </c>
      <c r="D19" s="3" t="n">
        <v>0.83</v>
      </c>
      <c r="E19" s="3" t="n">
        <v>100</v>
      </c>
      <c r="F19" s="3" t="n">
        <v>250</v>
      </c>
      <c r="G19" s="4" t="inlineStr">
        <is>
          <t>LCP utility default</t>
        </is>
      </c>
    </row>
    <row r="20">
      <c r="A20" s="2" t="inlineStr">
        <is>
          <t>^2\(d\)</t>
        </is>
      </c>
      <c r="B20" s="2" t="inlineStr">
        <is>
          <t>NaturalGas</t>
        </is>
      </c>
      <c r="C20" s="2" t="inlineStr">
        <is>
          <t>Gas boilers / CHP</t>
        </is>
      </c>
      <c r="D20" s="3" t="n">
        <v>0.85</v>
      </c>
      <c r="E20" s="3" t="n">
        <v>100</v>
      </c>
      <c r="F20" s="3" t="n">
        <v>250</v>
      </c>
      <c r="G20" s="4" t="inlineStr">
        <is>
          <t>Direct furnaces excluded Art 28(a); LCP=utility</t>
        </is>
      </c>
    </row>
    <row r="21">
      <c r="A21" s="2" t="inlineStr">
        <is>
          <t>^2\(d\)</t>
        </is>
      </c>
      <c r="B21" s="2" t="inlineStr">
        <is>
          <t>Coal</t>
        </is>
      </c>
      <c r="C21" s="2" t="inlineStr">
        <is>
          <t>Coal boilers</t>
        </is>
      </c>
      <c r="D21" s="3" t="n">
        <v>0.83</v>
      </c>
      <c r="E21" s="3" t="n">
        <v>100</v>
      </c>
      <c r="F21" s="3" t="n">
        <v>250</v>
      </c>
      <c r="G21" s="4" t="inlineStr">
        <is>
          <t>LCP utility boilers</t>
        </is>
      </c>
    </row>
    <row r="22">
      <c r="A22" s="2" t="inlineStr">
        <is>
          <t>^2\(d\)</t>
        </is>
      </c>
      <c r="B22" s="2" t="inlineStr">
        <is>
          <t>Lignite</t>
        </is>
      </c>
      <c r="C22" s="2" t="inlineStr">
        <is>
          <t>Lignite boilers</t>
        </is>
      </c>
      <c r="D22" s="3" t="n">
        <v>0.83</v>
      </c>
      <c r="E22" s="3" t="n">
        <v>100</v>
      </c>
      <c r="F22" s="3" t="n">
        <v>250</v>
      </c>
      <c r="G22" s="4" t="inlineStr">
        <is>
          <t>LCP utility boilers</t>
        </is>
      </c>
    </row>
    <row r="23">
      <c r="A23" s="2" t="inlineStr">
        <is>
          <t>^2\(d\)</t>
        </is>
      </c>
      <c r="B23" s="2" t="inlineStr">
        <is>
          <t>OtherSolidFuels</t>
        </is>
      </c>
      <c r="C23" s="2" t="inlineStr">
        <is>
          <t>Utility boilers</t>
        </is>
      </c>
      <c r="D23" s="3" t="n">
        <v>0.83</v>
      </c>
      <c r="E23" s="3" t="n">
        <v>100</v>
      </c>
      <c r="F23" s="3" t="n">
        <v>250</v>
      </c>
      <c r="G23" s="4" t="inlineStr">
        <is>
          <t>LCP utility default</t>
        </is>
      </c>
    </row>
    <row r="24">
      <c r="A24" s="2" t="inlineStr">
        <is>
          <t>^2\(d\)</t>
        </is>
      </c>
      <c r="B24" s="2" t="inlineStr">
        <is>
          <t>LiquidFuels</t>
        </is>
      </c>
      <c r="C24" s="2" t="inlineStr">
        <is>
          <t>Oil aux boilers</t>
        </is>
      </c>
      <c r="D24" s="3" t="n">
        <v>0.85</v>
      </c>
      <c r="E24" s="3" t="n">
        <v>100</v>
      </c>
      <c r="F24" s="3" t="n">
        <v>250</v>
      </c>
      <c r="G24" s="4" t="inlineStr">
        <is>
          <t>LCP auxiliary</t>
        </is>
      </c>
    </row>
    <row r="25">
      <c r="A25" s="2" t="inlineStr">
        <is>
          <t>^2\(d\)</t>
        </is>
      </c>
      <c r="B25" s="2" t="inlineStr">
        <is>
          <t>Peat</t>
        </is>
      </c>
      <c r="C25" s="2" t="inlineStr">
        <is>
          <t>Utility boilers</t>
        </is>
      </c>
      <c r="D25" s="3" t="n">
        <v>0.83</v>
      </c>
      <c r="E25" s="3" t="n">
        <v>100</v>
      </c>
      <c r="F25" s="3" t="n">
        <v>250</v>
      </c>
      <c r="G25" s="4" t="inlineStr">
        <is>
          <t>LCP utility default</t>
        </is>
      </c>
    </row>
    <row r="26">
      <c r="A26" s="2" t="inlineStr">
        <is>
          <t>^2\(e\)</t>
        </is>
      </c>
      <c r="B26" s="2" t="inlineStr">
        <is>
          <t>NaturalGas</t>
        </is>
      </c>
      <c r="C26" s="2" t="inlineStr">
        <is>
          <t>Gas boilers / CHP</t>
        </is>
      </c>
      <c r="D26" s="3" t="n">
        <v>0.85</v>
      </c>
      <c r="E26" s="3" t="n">
        <v>100</v>
      </c>
      <c r="F26" s="3" t="n">
        <v>250</v>
      </c>
      <c r="G26" s="4" t="inlineStr">
        <is>
          <t>Direct furnaces excluded Art 28(a); LCP=utility</t>
        </is>
      </c>
    </row>
    <row r="27">
      <c r="A27" s="2" t="inlineStr">
        <is>
          <t>^2\(e\)</t>
        </is>
      </c>
      <c r="B27" s="2" t="inlineStr">
        <is>
          <t>Coal</t>
        </is>
      </c>
      <c r="C27" s="2" t="inlineStr">
        <is>
          <t>Coal boilers</t>
        </is>
      </c>
      <c r="D27" s="3" t="n">
        <v>0.83</v>
      </c>
      <c r="E27" s="3" t="n">
        <v>100</v>
      </c>
      <c r="F27" s="3" t="n">
        <v>250</v>
      </c>
      <c r="G27" s="4" t="inlineStr">
        <is>
          <t>LCP utility boilers</t>
        </is>
      </c>
    </row>
    <row r="28">
      <c r="A28" s="2" t="inlineStr">
        <is>
          <t>^2\(e\)</t>
        </is>
      </c>
      <c r="B28" s="2" t="inlineStr">
        <is>
          <t>Lignite</t>
        </is>
      </c>
      <c r="C28" s="2" t="inlineStr">
        <is>
          <t>Lignite boilers</t>
        </is>
      </c>
      <c r="D28" s="3" t="n">
        <v>0.83</v>
      </c>
      <c r="E28" s="3" t="n">
        <v>100</v>
      </c>
      <c r="F28" s="3" t="n">
        <v>250</v>
      </c>
      <c r="G28" s="4" t="inlineStr">
        <is>
          <t>LCP utility boilers</t>
        </is>
      </c>
    </row>
    <row r="29">
      <c r="A29" s="2" t="inlineStr">
        <is>
          <t>^2\(e\)</t>
        </is>
      </c>
      <c r="B29" s="2" t="inlineStr">
        <is>
          <t>OtherSolidFuels</t>
        </is>
      </c>
      <c r="C29" s="2" t="inlineStr">
        <is>
          <t>Utility boilers</t>
        </is>
      </c>
      <c r="D29" s="3" t="n">
        <v>0.83</v>
      </c>
      <c r="E29" s="3" t="n">
        <v>100</v>
      </c>
      <c r="F29" s="3" t="n">
        <v>250</v>
      </c>
      <c r="G29" s="4" t="inlineStr">
        <is>
          <t>LCP utility default</t>
        </is>
      </c>
    </row>
    <row r="30">
      <c r="A30" s="2" t="inlineStr">
        <is>
          <t>^2\(e\)</t>
        </is>
      </c>
      <c r="B30" s="2" t="inlineStr">
        <is>
          <t>LiquidFuels</t>
        </is>
      </c>
      <c r="C30" s="2" t="inlineStr">
        <is>
          <t>Oil aux boilers</t>
        </is>
      </c>
      <c r="D30" s="3" t="n">
        <v>0.85</v>
      </c>
      <c r="E30" s="3" t="n">
        <v>100</v>
      </c>
      <c r="F30" s="3" t="n">
        <v>250</v>
      </c>
      <c r="G30" s="4" t="inlineStr">
        <is>
          <t>LCP auxiliary</t>
        </is>
      </c>
    </row>
    <row r="31">
      <c r="A31" s="2" t="inlineStr">
        <is>
          <t>^2\(e\)</t>
        </is>
      </c>
      <c r="B31" s="2" t="inlineStr">
        <is>
          <t>Peat</t>
        </is>
      </c>
      <c r="C31" s="2" t="inlineStr">
        <is>
          <t>Utility boilers</t>
        </is>
      </c>
      <c r="D31" s="3" t="n">
        <v>0.83</v>
      </c>
      <c r="E31" s="3" t="n">
        <v>100</v>
      </c>
      <c r="F31" s="3" t="n">
        <v>250</v>
      </c>
      <c r="G31" s="4" t="inlineStr">
        <is>
          <t>LCP utility default</t>
        </is>
      </c>
    </row>
    <row r="32">
      <c r="A32" s="2" t="inlineStr">
        <is>
          <t>^2\(f\)</t>
        </is>
      </c>
      <c r="B32" s="2" t="inlineStr">
        <is>
          <t>NaturalGas</t>
        </is>
      </c>
      <c r="C32" s="2" t="inlineStr">
        <is>
          <t>Gas boilers / CHP</t>
        </is>
      </c>
      <c r="D32" s="3" t="n">
        <v>0.85</v>
      </c>
      <c r="E32" s="3" t="n">
        <v>100</v>
      </c>
      <c r="F32" s="3" t="n">
        <v>250</v>
      </c>
      <c r="G32" s="4" t="inlineStr">
        <is>
          <t>Direct furnaces excluded Art 28(a); LCP=utility</t>
        </is>
      </c>
    </row>
    <row r="33">
      <c r="A33" s="2" t="inlineStr">
        <is>
          <t>^2\(f\)</t>
        </is>
      </c>
      <c r="B33" s="2" t="inlineStr">
        <is>
          <t>Coal</t>
        </is>
      </c>
      <c r="C33" s="2" t="inlineStr">
        <is>
          <t>Coal boilers</t>
        </is>
      </c>
      <c r="D33" s="3" t="n">
        <v>0.83</v>
      </c>
      <c r="E33" s="3" t="n">
        <v>100</v>
      </c>
      <c r="F33" s="3" t="n">
        <v>250</v>
      </c>
      <c r="G33" s="4" t="inlineStr">
        <is>
          <t>LCP utility boilers</t>
        </is>
      </c>
    </row>
    <row r="34">
      <c r="A34" s="2" t="inlineStr">
        <is>
          <t>^2\(f\)</t>
        </is>
      </c>
      <c r="B34" s="2" t="inlineStr">
        <is>
          <t>Lignite</t>
        </is>
      </c>
      <c r="C34" s="2" t="inlineStr">
        <is>
          <t>Lignite boilers</t>
        </is>
      </c>
      <c r="D34" s="3" t="n">
        <v>0.83</v>
      </c>
      <c r="E34" s="3" t="n">
        <v>100</v>
      </c>
      <c r="F34" s="3" t="n">
        <v>250</v>
      </c>
      <c r="G34" s="4" t="inlineStr">
        <is>
          <t>LCP utility boilers</t>
        </is>
      </c>
    </row>
    <row r="35">
      <c r="A35" s="2" t="inlineStr">
        <is>
          <t>^2\(f\)</t>
        </is>
      </c>
      <c r="B35" s="2" t="inlineStr">
        <is>
          <t>OtherSolidFuels</t>
        </is>
      </c>
      <c r="C35" s="2" t="inlineStr">
        <is>
          <t>Utility boilers</t>
        </is>
      </c>
      <c r="D35" s="3" t="n">
        <v>0.83</v>
      </c>
      <c r="E35" s="3" t="n">
        <v>100</v>
      </c>
      <c r="F35" s="3" t="n">
        <v>250</v>
      </c>
      <c r="G35" s="4" t="inlineStr">
        <is>
          <t>LCP utility default</t>
        </is>
      </c>
    </row>
    <row r="36">
      <c r="A36" s="2" t="inlineStr">
        <is>
          <t>^2\(f\)</t>
        </is>
      </c>
      <c r="B36" s="2" t="inlineStr">
        <is>
          <t>LiquidFuels</t>
        </is>
      </c>
      <c r="C36" s="2" t="inlineStr">
        <is>
          <t>Oil aux boilers</t>
        </is>
      </c>
      <c r="D36" s="3" t="n">
        <v>0.85</v>
      </c>
      <c r="E36" s="3" t="n">
        <v>100</v>
      </c>
      <c r="F36" s="3" t="n">
        <v>250</v>
      </c>
      <c r="G36" s="4" t="inlineStr">
        <is>
          <t>LCP auxiliary</t>
        </is>
      </c>
    </row>
    <row r="37">
      <c r="A37" s="2" t="inlineStr">
        <is>
          <t>^2\(f\)</t>
        </is>
      </c>
      <c r="B37" s="2" t="inlineStr">
        <is>
          <t>Peat</t>
        </is>
      </c>
      <c r="C37" s="2" t="inlineStr">
        <is>
          <t>Utility boilers</t>
        </is>
      </c>
      <c r="D37" s="3" t="n">
        <v>0.83</v>
      </c>
      <c r="E37" s="3" t="n">
        <v>100</v>
      </c>
      <c r="F37" s="3" t="n">
        <v>250</v>
      </c>
      <c r="G37" s="4" t="inlineStr">
        <is>
          <t>LCP utility default</t>
        </is>
      </c>
    </row>
    <row r="38">
      <c r="A38" s="2" t="inlineStr">
        <is>
          <t>^5\(a\)$</t>
        </is>
      </c>
      <c r="B38" s="2" t="inlineStr">
        <is>
          <t>NaturalGas</t>
        </is>
      </c>
      <c r="C38" s="2" t="inlineStr">
        <is>
          <t>Auxiliary gas burner/boiler</t>
        </is>
      </c>
      <c r="D38" s="3" t="n">
        <v>0.85</v>
      </c>
      <c r="E38" s="3" t="n">
        <v>850</v>
      </c>
      <c r="F38" s="3" t="n">
        <v>1100</v>
      </c>
      <c r="G38" s="4" t="inlineStr">
        <is>
          <t>WI BREF 2019; LCP fuel = aux to maintain temp</t>
        </is>
      </c>
    </row>
    <row r="39">
      <c r="A39" s="2" t="inlineStr">
        <is>
          <t>^5\(a\)$</t>
        </is>
      </c>
      <c r="B39" s="2" t="inlineStr">
        <is>
          <t>Coal</t>
        </is>
      </c>
      <c r="C39" s="2" t="inlineStr">
        <is>
          <t>Auxiliary coal burner</t>
        </is>
      </c>
      <c r="D39" s="3" t="n">
        <v>0.82</v>
      </c>
      <c r="E39" s="3" t="n">
        <v>850</v>
      </c>
      <c r="F39" s="3" t="n">
        <v>1100</v>
      </c>
      <c r="G39" s="4" t="inlineStr">
        <is>
          <t>WI BREF 2019</t>
        </is>
      </c>
    </row>
    <row r="40">
      <c r="A40" s="2" t="inlineStr">
        <is>
          <t>^5\(a\)$</t>
        </is>
      </c>
      <c r="B40" s="2" t="inlineStr">
        <is>
          <t>Lignite</t>
        </is>
      </c>
      <c r="C40" s="2" t="inlineStr">
        <is>
          <t>Auxiliary lignite burner</t>
        </is>
      </c>
      <c r="D40" s="3" t="n">
        <v>0.82</v>
      </c>
      <c r="E40" s="3" t="n">
        <v>850</v>
      </c>
      <c r="F40" s="3" t="n">
        <v>1100</v>
      </c>
      <c r="G40" s="4" t="inlineStr">
        <is>
          <t>WI BREF 2019</t>
        </is>
      </c>
    </row>
    <row r="41">
      <c r="A41" s="2" t="inlineStr">
        <is>
          <t>^5\(a\)$</t>
        </is>
      </c>
      <c r="B41" s="2" t="inlineStr">
        <is>
          <t>OtherSolidFuels</t>
        </is>
      </c>
      <c r="C41" s="2" t="inlineStr">
        <is>
          <t>Auxiliary solid burner</t>
        </is>
      </c>
      <c r="D41" s="3" t="n">
        <v>0.82</v>
      </c>
      <c r="E41" s="3" t="n">
        <v>850</v>
      </c>
      <c r="F41" s="3" t="n">
        <v>1100</v>
      </c>
      <c r="G41" s="4" t="inlineStr">
        <is>
          <t>WI BREF 2019</t>
        </is>
      </c>
    </row>
    <row r="42">
      <c r="A42" s="2" t="inlineStr">
        <is>
          <t>^5\(a\)$</t>
        </is>
      </c>
      <c r="B42" s="2" t="inlineStr">
        <is>
          <t>LiquidFuels</t>
        </is>
      </c>
      <c r="C42" s="2" t="inlineStr">
        <is>
          <t>Auxiliary oil burner</t>
        </is>
      </c>
      <c r="D42" s="3" t="n">
        <v>0.85</v>
      </c>
      <c r="E42" s="3" t="n">
        <v>850</v>
      </c>
      <c r="F42" s="3" t="n">
        <v>1100</v>
      </c>
      <c r="G42" s="4" t="inlineStr">
        <is>
          <t>WI BREF 2019</t>
        </is>
      </c>
    </row>
    <row r="43">
      <c r="A43" s="2" t="inlineStr">
        <is>
          <t>^5\(a\)$</t>
        </is>
      </c>
      <c r="B43" s="2" t="inlineStr">
        <is>
          <t>Peat</t>
        </is>
      </c>
      <c r="C43" s="2" t="inlineStr">
        <is>
          <t>Auxiliary burner</t>
        </is>
      </c>
      <c r="D43" s="3" t="n">
        <v>0.82</v>
      </c>
      <c r="E43" s="3" t="n">
        <v>850</v>
      </c>
      <c r="F43" s="3" t="n">
        <v>1100</v>
      </c>
      <c r="G43" s="4" t="inlineStr">
        <is>
          <t>WI BREF 2019</t>
        </is>
      </c>
    </row>
    <row r="44">
      <c r="A44" s="2" t="inlineStr">
        <is>
          <t>^5\(b\)$</t>
        </is>
      </c>
      <c r="B44" s="2" t="inlineStr">
        <is>
          <t>NaturalGas</t>
        </is>
      </c>
      <c r="C44" s="2" t="inlineStr">
        <is>
          <t>Auxiliary gas burner/boiler</t>
        </is>
      </c>
      <c r="D44" s="3" t="n">
        <v>0.85</v>
      </c>
      <c r="E44" s="3" t="n">
        <v>850</v>
      </c>
      <c r="F44" s="3" t="n">
        <v>1100</v>
      </c>
      <c r="G44" s="4" t="inlineStr">
        <is>
          <t>WI BREF 2019; LCP fuel = aux to maintain temp</t>
        </is>
      </c>
    </row>
    <row r="45">
      <c r="A45" s="2" t="inlineStr">
        <is>
          <t>^5\(b\)$</t>
        </is>
      </c>
      <c r="B45" s="2" t="inlineStr">
        <is>
          <t>Coal</t>
        </is>
      </c>
      <c r="C45" s="2" t="inlineStr">
        <is>
          <t>Auxiliary coal burner</t>
        </is>
      </c>
      <c r="D45" s="3" t="n">
        <v>0.82</v>
      </c>
      <c r="E45" s="3" t="n">
        <v>850</v>
      </c>
      <c r="F45" s="3" t="n">
        <v>1100</v>
      </c>
      <c r="G45" s="4" t="inlineStr">
        <is>
          <t>WI BREF 2019</t>
        </is>
      </c>
    </row>
    <row r="46">
      <c r="A46" s="2" t="inlineStr">
        <is>
          <t>^5\(b\)$</t>
        </is>
      </c>
      <c r="B46" s="2" t="inlineStr">
        <is>
          <t>Lignite</t>
        </is>
      </c>
      <c r="C46" s="2" t="inlineStr">
        <is>
          <t>Auxiliary lignite burner</t>
        </is>
      </c>
      <c r="D46" s="3" t="n">
        <v>0.82</v>
      </c>
      <c r="E46" s="3" t="n">
        <v>850</v>
      </c>
      <c r="F46" s="3" t="n">
        <v>1100</v>
      </c>
      <c r="G46" s="4" t="inlineStr">
        <is>
          <t>WI BREF 2019</t>
        </is>
      </c>
    </row>
    <row r="47">
      <c r="A47" s="2" t="inlineStr">
        <is>
          <t>^5\(b\)$</t>
        </is>
      </c>
      <c r="B47" s="2" t="inlineStr">
        <is>
          <t>OtherSolidFuels</t>
        </is>
      </c>
      <c r="C47" s="2" t="inlineStr">
        <is>
          <t>Auxiliary solid burner</t>
        </is>
      </c>
      <c r="D47" s="3" t="n">
        <v>0.82</v>
      </c>
      <c r="E47" s="3" t="n">
        <v>850</v>
      </c>
      <c r="F47" s="3" t="n">
        <v>1100</v>
      </c>
      <c r="G47" s="4" t="inlineStr">
        <is>
          <t>WI BREF 2019</t>
        </is>
      </c>
    </row>
    <row r="48">
      <c r="A48" s="2" t="inlineStr">
        <is>
          <t>^5\(b\)$</t>
        </is>
      </c>
      <c r="B48" s="2" t="inlineStr">
        <is>
          <t>LiquidFuels</t>
        </is>
      </c>
      <c r="C48" s="2" t="inlineStr">
        <is>
          <t>Auxiliary oil burner</t>
        </is>
      </c>
      <c r="D48" s="3" t="n">
        <v>0.85</v>
      </c>
      <c r="E48" s="3" t="n">
        <v>850</v>
      </c>
      <c r="F48" s="3" t="n">
        <v>1100</v>
      </c>
      <c r="G48" s="4" t="inlineStr">
        <is>
          <t>WI BREF 2019</t>
        </is>
      </c>
    </row>
    <row r="49">
      <c r="A49" s="2" t="inlineStr">
        <is>
          <t>^5\(b\)$</t>
        </is>
      </c>
      <c r="B49" s="2" t="inlineStr">
        <is>
          <t>Peat</t>
        </is>
      </c>
      <c r="C49" s="2" t="inlineStr">
        <is>
          <t>Auxiliary burner</t>
        </is>
      </c>
      <c r="D49" s="3" t="n">
        <v>0.82</v>
      </c>
      <c r="E49" s="3" t="n">
        <v>850</v>
      </c>
      <c r="F49" s="3" t="n">
        <v>1100</v>
      </c>
      <c r="G49" s="4" t="inlineStr">
        <is>
          <t>WI BREF 2019</t>
        </is>
      </c>
    </row>
    <row r="50">
      <c r="A50" s="2" t="inlineStr">
        <is>
          <t>^5\(c\)$</t>
        </is>
      </c>
      <c r="B50" s="2" t="inlineStr">
        <is>
          <t>NaturalGas</t>
        </is>
      </c>
      <c r="C50" s="2" t="inlineStr">
        <is>
          <t>Auxiliary gas burner/boiler</t>
        </is>
      </c>
      <c r="D50" s="3" t="n">
        <v>0.85</v>
      </c>
      <c r="E50" s="3" t="n">
        <v>850</v>
      </c>
      <c r="F50" s="3" t="n">
        <v>1100</v>
      </c>
      <c r="G50" s="4" t="inlineStr">
        <is>
          <t>WI BREF 2019; LCP fuel = aux to maintain temp</t>
        </is>
      </c>
    </row>
    <row r="51">
      <c r="A51" s="2" t="inlineStr">
        <is>
          <t>^5\(c\)$</t>
        </is>
      </c>
      <c r="B51" s="2" t="inlineStr">
        <is>
          <t>Coal</t>
        </is>
      </c>
      <c r="C51" s="2" t="inlineStr">
        <is>
          <t>Auxiliary coal burner</t>
        </is>
      </c>
      <c r="D51" s="3" t="n">
        <v>0.82</v>
      </c>
      <c r="E51" s="3" t="n">
        <v>850</v>
      </c>
      <c r="F51" s="3" t="n">
        <v>1100</v>
      </c>
      <c r="G51" s="4" t="inlineStr">
        <is>
          <t>WI BREF 2019</t>
        </is>
      </c>
    </row>
    <row r="52">
      <c r="A52" s="2" t="inlineStr">
        <is>
          <t>^5\(c\)$</t>
        </is>
      </c>
      <c r="B52" s="2" t="inlineStr">
        <is>
          <t>Lignite</t>
        </is>
      </c>
      <c r="C52" s="2" t="inlineStr">
        <is>
          <t>Auxiliary lignite burner</t>
        </is>
      </c>
      <c r="D52" s="3" t="n">
        <v>0.82</v>
      </c>
      <c r="E52" s="3" t="n">
        <v>850</v>
      </c>
      <c r="F52" s="3" t="n">
        <v>1100</v>
      </c>
      <c r="G52" s="4" t="inlineStr">
        <is>
          <t>WI BREF 2019</t>
        </is>
      </c>
    </row>
    <row r="53">
      <c r="A53" s="2" t="inlineStr">
        <is>
          <t>^5\(c\)$</t>
        </is>
      </c>
      <c r="B53" s="2" t="inlineStr">
        <is>
          <t>OtherSolidFuels</t>
        </is>
      </c>
      <c r="C53" s="2" t="inlineStr">
        <is>
          <t>Auxiliary solid burner</t>
        </is>
      </c>
      <c r="D53" s="3" t="n">
        <v>0.82</v>
      </c>
      <c r="E53" s="3" t="n">
        <v>850</v>
      </c>
      <c r="F53" s="3" t="n">
        <v>1100</v>
      </c>
      <c r="G53" s="4" t="inlineStr">
        <is>
          <t>WI BREF 2019</t>
        </is>
      </c>
    </row>
    <row r="54">
      <c r="A54" s="2" t="inlineStr">
        <is>
          <t>^5\(c\)$</t>
        </is>
      </c>
      <c r="B54" s="2" t="inlineStr">
        <is>
          <t>LiquidFuels</t>
        </is>
      </c>
      <c r="C54" s="2" t="inlineStr">
        <is>
          <t>Auxiliary oil burner</t>
        </is>
      </c>
      <c r="D54" s="3" t="n">
        <v>0.85</v>
      </c>
      <c r="E54" s="3" t="n">
        <v>850</v>
      </c>
      <c r="F54" s="3" t="n">
        <v>1100</v>
      </c>
      <c r="G54" s="4" t="inlineStr">
        <is>
          <t>WI BREF 2019</t>
        </is>
      </c>
    </row>
    <row r="55">
      <c r="A55" s="2" t="inlineStr">
        <is>
          <t>^5\(c\)$</t>
        </is>
      </c>
      <c r="B55" s="2" t="inlineStr">
        <is>
          <t>Peat</t>
        </is>
      </c>
      <c r="C55" s="2" t="inlineStr">
        <is>
          <t>Auxiliary burner</t>
        </is>
      </c>
      <c r="D55" s="3" t="n">
        <v>0.82</v>
      </c>
      <c r="E55" s="3" t="n">
        <v>850</v>
      </c>
      <c r="F55" s="3" t="n">
        <v>1100</v>
      </c>
      <c r="G55" s="4" t="inlineStr">
        <is>
          <t>WI BREF 2019</t>
        </is>
      </c>
    </row>
    <row r="56">
      <c r="A56" s="2" t="inlineStr">
        <is>
          <t>^5\(d\)$</t>
        </is>
      </c>
      <c r="B56" s="2" t="inlineStr">
        <is>
          <t>NaturalGas</t>
        </is>
      </c>
      <c r="C56" s="2" t="inlineStr">
        <is>
          <t>Auxiliary gas burner/boiler</t>
        </is>
      </c>
      <c r="D56" s="3" t="n">
        <v>0.85</v>
      </c>
      <c r="E56" s="3" t="n">
        <v>850</v>
      </c>
      <c r="F56" s="3" t="n">
        <v>1100</v>
      </c>
      <c r="G56" s="4" t="inlineStr">
        <is>
          <t>WI BREF 2019; LCP fuel = aux to maintain temp</t>
        </is>
      </c>
    </row>
    <row r="57">
      <c r="A57" s="2" t="inlineStr">
        <is>
          <t>^5\(d\)$</t>
        </is>
      </c>
      <c r="B57" s="2" t="inlineStr">
        <is>
          <t>Coal</t>
        </is>
      </c>
      <c r="C57" s="2" t="inlineStr">
        <is>
          <t>Auxiliary coal burner</t>
        </is>
      </c>
      <c r="D57" s="3" t="n">
        <v>0.82</v>
      </c>
      <c r="E57" s="3" t="n">
        <v>850</v>
      </c>
      <c r="F57" s="3" t="n">
        <v>1100</v>
      </c>
      <c r="G57" s="4" t="inlineStr">
        <is>
          <t>WI BREF 2019</t>
        </is>
      </c>
    </row>
    <row r="58">
      <c r="A58" s="2" t="inlineStr">
        <is>
          <t>^5\(d\)$</t>
        </is>
      </c>
      <c r="B58" s="2" t="inlineStr">
        <is>
          <t>Lignite</t>
        </is>
      </c>
      <c r="C58" s="2" t="inlineStr">
        <is>
          <t>Auxiliary lignite burner</t>
        </is>
      </c>
      <c r="D58" s="3" t="n">
        <v>0.82</v>
      </c>
      <c r="E58" s="3" t="n">
        <v>850</v>
      </c>
      <c r="F58" s="3" t="n">
        <v>1100</v>
      </c>
      <c r="G58" s="4" t="inlineStr">
        <is>
          <t>WI BREF 2019</t>
        </is>
      </c>
    </row>
    <row r="59">
      <c r="A59" s="2" t="inlineStr">
        <is>
          <t>^5\(d\)$</t>
        </is>
      </c>
      <c r="B59" s="2" t="inlineStr">
        <is>
          <t>OtherSolidFuels</t>
        </is>
      </c>
      <c r="C59" s="2" t="inlineStr">
        <is>
          <t>Auxiliary solid burner</t>
        </is>
      </c>
      <c r="D59" s="3" t="n">
        <v>0.82</v>
      </c>
      <c r="E59" s="3" t="n">
        <v>850</v>
      </c>
      <c r="F59" s="3" t="n">
        <v>1100</v>
      </c>
      <c r="G59" s="4" t="inlineStr">
        <is>
          <t>WI BREF 2019</t>
        </is>
      </c>
    </row>
    <row r="60">
      <c r="A60" s="2" t="inlineStr">
        <is>
          <t>^5\(d\)$</t>
        </is>
      </c>
      <c r="B60" s="2" t="inlineStr">
        <is>
          <t>LiquidFuels</t>
        </is>
      </c>
      <c r="C60" s="2" t="inlineStr">
        <is>
          <t>Auxiliary oil burner</t>
        </is>
      </c>
      <c r="D60" s="3" t="n">
        <v>0.85</v>
      </c>
      <c r="E60" s="3" t="n">
        <v>850</v>
      </c>
      <c r="F60" s="3" t="n">
        <v>1100</v>
      </c>
      <c r="G60" s="4" t="inlineStr">
        <is>
          <t>WI BREF 2019</t>
        </is>
      </c>
    </row>
    <row r="61">
      <c r="A61" s="2" t="inlineStr">
        <is>
          <t>^5\(d\)$</t>
        </is>
      </c>
      <c r="B61" s="2" t="inlineStr">
        <is>
          <t>Peat</t>
        </is>
      </c>
      <c r="C61" s="2" t="inlineStr">
        <is>
          <t>Auxiliary burner</t>
        </is>
      </c>
      <c r="D61" s="3" t="n">
        <v>0.82</v>
      </c>
      <c r="E61" s="3" t="n">
        <v>850</v>
      </c>
      <c r="F61" s="3" t="n">
        <v>1100</v>
      </c>
      <c r="G61" s="4" t="inlineStr">
        <is>
          <t>WI BREF 2019</t>
        </is>
      </c>
    </row>
    <row r="62">
      <c r="A62" s="2" t="inlineStr">
        <is>
          <t>^5\(f\)$</t>
        </is>
      </c>
      <c r="B62" s="2" t="inlineStr">
        <is>
          <t>NaturalGas</t>
        </is>
      </c>
      <c r="C62" s="2" t="inlineStr">
        <is>
          <t>Auxiliary gas burner/boiler</t>
        </is>
      </c>
      <c r="D62" s="3" t="n">
        <v>0.85</v>
      </c>
      <c r="E62" s="3" t="n">
        <v>850</v>
      </c>
      <c r="F62" s="3" t="n">
        <v>1100</v>
      </c>
      <c r="G62" s="4" t="inlineStr">
        <is>
          <t>WI BREF 2019; LCP fuel = aux to maintain temp</t>
        </is>
      </c>
    </row>
    <row r="63">
      <c r="A63" s="2" t="inlineStr">
        <is>
          <t>^5\(f\)$</t>
        </is>
      </c>
      <c r="B63" s="2" t="inlineStr">
        <is>
          <t>Coal</t>
        </is>
      </c>
      <c r="C63" s="2" t="inlineStr">
        <is>
          <t>Auxiliary coal burner</t>
        </is>
      </c>
      <c r="D63" s="3" t="n">
        <v>0.82</v>
      </c>
      <c r="E63" s="3" t="n">
        <v>850</v>
      </c>
      <c r="F63" s="3" t="n">
        <v>1100</v>
      </c>
      <c r="G63" s="4" t="inlineStr">
        <is>
          <t>WI BREF 2019</t>
        </is>
      </c>
    </row>
    <row r="64">
      <c r="A64" s="2" t="inlineStr">
        <is>
          <t>^5\(f\)$</t>
        </is>
      </c>
      <c r="B64" s="2" t="inlineStr">
        <is>
          <t>Lignite</t>
        </is>
      </c>
      <c r="C64" s="2" t="inlineStr">
        <is>
          <t>Auxiliary lignite burner</t>
        </is>
      </c>
      <c r="D64" s="3" t="n">
        <v>0.82</v>
      </c>
      <c r="E64" s="3" t="n">
        <v>850</v>
      </c>
      <c r="F64" s="3" t="n">
        <v>1100</v>
      </c>
      <c r="G64" s="4" t="inlineStr">
        <is>
          <t>WI BREF 2019</t>
        </is>
      </c>
    </row>
    <row r="65">
      <c r="A65" s="2" t="inlineStr">
        <is>
          <t>^5\(f\)$</t>
        </is>
      </c>
      <c r="B65" s="2" t="inlineStr">
        <is>
          <t>OtherSolidFuels</t>
        </is>
      </c>
      <c r="C65" s="2" t="inlineStr">
        <is>
          <t>Auxiliary solid burner</t>
        </is>
      </c>
      <c r="D65" s="3" t="n">
        <v>0.82</v>
      </c>
      <c r="E65" s="3" t="n">
        <v>850</v>
      </c>
      <c r="F65" s="3" t="n">
        <v>1100</v>
      </c>
      <c r="G65" s="4" t="inlineStr">
        <is>
          <t>WI BREF 2019</t>
        </is>
      </c>
    </row>
    <row r="66">
      <c r="A66" s="2" t="inlineStr">
        <is>
          <t>^5\(f\)$</t>
        </is>
      </c>
      <c r="B66" s="2" t="inlineStr">
        <is>
          <t>LiquidFuels</t>
        </is>
      </c>
      <c r="C66" s="2" t="inlineStr">
        <is>
          <t>Auxiliary oil burner</t>
        </is>
      </c>
      <c r="D66" s="3" t="n">
        <v>0.85</v>
      </c>
      <c r="E66" s="3" t="n">
        <v>850</v>
      </c>
      <c r="F66" s="3" t="n">
        <v>1100</v>
      </c>
      <c r="G66" s="4" t="inlineStr">
        <is>
          <t>WI BREF 2019</t>
        </is>
      </c>
    </row>
    <row r="67">
      <c r="A67" s="2" t="inlineStr">
        <is>
          <t>^5\(f\)$</t>
        </is>
      </c>
      <c r="B67" s="2" t="inlineStr">
        <is>
          <t>Peat</t>
        </is>
      </c>
      <c r="C67" s="2" t="inlineStr">
        <is>
          <t>Auxiliary burner</t>
        </is>
      </c>
      <c r="D67" s="3" t="n">
        <v>0.82</v>
      </c>
      <c r="E67" s="3" t="n">
        <v>850</v>
      </c>
      <c r="F67" s="3" t="n">
        <v>1100</v>
      </c>
      <c r="G67" s="4" t="inlineStr">
        <is>
          <t>WI BREF 2019</t>
        </is>
      </c>
    </row>
    <row r="68">
      <c r="A68" s="2" t="inlineStr">
        <is>
          <t>^5\(g\)$</t>
        </is>
      </c>
      <c r="B68" s="2" t="inlineStr">
        <is>
          <t>NaturalGas</t>
        </is>
      </c>
      <c r="C68" s="2" t="inlineStr">
        <is>
          <t>Auxiliary gas burner/boiler</t>
        </is>
      </c>
      <c r="D68" s="3" t="n">
        <v>0.85</v>
      </c>
      <c r="E68" s="3" t="n">
        <v>850</v>
      </c>
      <c r="F68" s="3" t="n">
        <v>1100</v>
      </c>
      <c r="G68" s="4" t="inlineStr">
        <is>
          <t>WI BREF 2019; LCP fuel = aux to maintain temp</t>
        </is>
      </c>
    </row>
    <row r="69">
      <c r="A69" s="2" t="inlineStr">
        <is>
          <t>^5\(g\)$</t>
        </is>
      </c>
      <c r="B69" s="2" t="inlineStr">
        <is>
          <t>Coal</t>
        </is>
      </c>
      <c r="C69" s="2" t="inlineStr">
        <is>
          <t>Auxiliary coal burner</t>
        </is>
      </c>
      <c r="D69" s="3" t="n">
        <v>0.82</v>
      </c>
      <c r="E69" s="3" t="n">
        <v>850</v>
      </c>
      <c r="F69" s="3" t="n">
        <v>1100</v>
      </c>
      <c r="G69" s="4" t="inlineStr">
        <is>
          <t>WI BREF 2019</t>
        </is>
      </c>
    </row>
    <row r="70">
      <c r="A70" s="2" t="inlineStr">
        <is>
          <t>^5\(g\)$</t>
        </is>
      </c>
      <c r="B70" s="2" t="inlineStr">
        <is>
          <t>Lignite</t>
        </is>
      </c>
      <c r="C70" s="2" t="inlineStr">
        <is>
          <t>Auxiliary lignite burner</t>
        </is>
      </c>
      <c r="D70" s="3" t="n">
        <v>0.82</v>
      </c>
      <c r="E70" s="3" t="n">
        <v>850</v>
      </c>
      <c r="F70" s="3" t="n">
        <v>1100</v>
      </c>
      <c r="G70" s="4" t="inlineStr">
        <is>
          <t>WI BREF 2019</t>
        </is>
      </c>
    </row>
    <row r="71">
      <c r="A71" s="2" t="inlineStr">
        <is>
          <t>^5\(g\)$</t>
        </is>
      </c>
      <c r="B71" s="2" t="inlineStr">
        <is>
          <t>OtherSolidFuels</t>
        </is>
      </c>
      <c r="C71" s="2" t="inlineStr">
        <is>
          <t>Auxiliary solid burner</t>
        </is>
      </c>
      <c r="D71" s="3" t="n">
        <v>0.82</v>
      </c>
      <c r="E71" s="3" t="n">
        <v>850</v>
      </c>
      <c r="F71" s="3" t="n">
        <v>1100</v>
      </c>
      <c r="G71" s="4" t="inlineStr">
        <is>
          <t>WI BREF 2019</t>
        </is>
      </c>
    </row>
    <row r="72">
      <c r="A72" s="2" t="inlineStr">
        <is>
          <t>^5\(g\)$</t>
        </is>
      </c>
      <c r="B72" s="2" t="inlineStr">
        <is>
          <t>LiquidFuels</t>
        </is>
      </c>
      <c r="C72" s="2" t="inlineStr">
        <is>
          <t>Auxiliary oil burner</t>
        </is>
      </c>
      <c r="D72" s="3" t="n">
        <v>0.85</v>
      </c>
      <c r="E72" s="3" t="n">
        <v>850</v>
      </c>
      <c r="F72" s="3" t="n">
        <v>1100</v>
      </c>
      <c r="G72" s="4" t="inlineStr">
        <is>
          <t>WI BREF 2019</t>
        </is>
      </c>
    </row>
    <row r="73">
      <c r="A73" s="2" t="inlineStr">
        <is>
          <t>^5\(g\)$</t>
        </is>
      </c>
      <c r="B73" s="2" t="inlineStr">
        <is>
          <t>Peat</t>
        </is>
      </c>
      <c r="C73" s="2" t="inlineStr">
        <is>
          <t>Auxiliary burner</t>
        </is>
      </c>
      <c r="D73" s="3" t="n">
        <v>0.82</v>
      </c>
      <c r="E73" s="3" t="n">
        <v>850</v>
      </c>
      <c r="F73" s="3" t="n">
        <v>1100</v>
      </c>
      <c r="G73" s="4" t="inlineStr">
        <is>
          <t>WI BREF 2019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30" customWidth="1" min="1" max="1"/>
    <col width="95" customWidth="1" min="2" max="2"/>
  </cols>
  <sheetData>
    <row r="1">
      <c r="A1" s="5" t="inlineStr">
        <is>
          <t>Heat Demand Config — how it works</t>
        </is>
      </c>
      <c r="B1" t="inlineStr"/>
    </row>
    <row r="2">
      <c r="A2" s="2" t="inlineStr"/>
      <c r="B2" s="2" t="inlineStr"/>
    </row>
    <row r="3">
      <c r="A3" s="6" t="inlineStr">
        <is>
          <t>Formula</t>
        </is>
      </c>
      <c r="B3" s="2" t="inlineStr">
        <is>
          <t>heat_demand_TJ = substitutable_fuel_TJ x eta x epsilon  (summed over technologies)</t>
        </is>
      </c>
    </row>
    <row r="4">
      <c r="A4" s="2" t="inlineStr"/>
      <c r="B4" s="2" t="inlineStr"/>
    </row>
    <row r="5">
      <c r="A5" s="6" t="inlineStr">
        <is>
          <t>substitutable_fuel</t>
        </is>
      </c>
      <c r="B5" s="2">
        <f> NaturalGas+Coal+Lignite+OtherSolidFuels+LiquidFuels+Peat (excludes OtherGases &amp; Biomass).</f>
        <v/>
      </c>
    </row>
    <row r="6">
      <c r="A6" s="2" t="inlineStr"/>
      <c r="B6" s="2" t="inlineStr">
        <is>
          <t>Byproduct gases (BFG/COG/refinery gas) and biomass are EXCLUDED because they are</t>
        </is>
      </c>
    </row>
    <row r="7">
      <c r="A7" s="2" t="inlineStr"/>
      <c r="B7" s="2" t="inlineStr">
        <is>
          <t>non-displaceable process residues — a heat battery would not save them (you'd still</t>
        </is>
      </c>
    </row>
    <row r="8">
      <c r="A8" s="2" t="inlineStr"/>
      <c r="B8" s="2" t="inlineStr">
        <is>
          <t>have to combust/flare them). This is the economic counterfactual, not a scope rule.</t>
        </is>
      </c>
    </row>
    <row r="9">
      <c r="A9" s="2" t="inlineStr"/>
      <c r="B9" s="2" t="inlineStr"/>
    </row>
    <row r="10">
      <c r="A10" s="6" t="inlineStr">
        <is>
          <t>eta (activity_control sheet)</t>
        </is>
      </c>
      <c r="B10" s="2" t="inlineStr">
        <is>
          <t>Fraction of substitutable fuel CO2 that is combustion-for-heat (vs process chemistry</t>
        </is>
      </c>
    </row>
    <row r="11">
      <c r="A11" s="2" t="inlineStr"/>
      <c r="B11" s="2" t="inlineStr">
        <is>
          <t>or feedstock). Cement 0.40, lime 0.45, NH3 fertiliser 0.75, iron&amp;steel 0.85, else 1.0.</t>
        </is>
      </c>
    </row>
    <row r="12">
      <c r="A12" s="2" t="inlineStr"/>
      <c r="B12" s="2" t="inlineStr"/>
    </row>
    <row r="13">
      <c r="A13" s="6" t="inlineStr">
        <is>
          <t>routing_mode (activity_control)</t>
        </is>
      </c>
      <c r="B13" s="2" t="inlineStr">
        <is>
          <t>Switches how epsilon is applied:</t>
        </is>
      </c>
    </row>
    <row r="14">
      <c r="A14" s="2" t="inlineStr">
        <is>
          <t xml:space="preserve">  tech_split</t>
        </is>
      </c>
      <c r="B14" s="2" t="inlineStr">
        <is>
          <t>Shared-fuel activities (refineries, chemicals). One fuel feeds many units and the</t>
        </is>
      </c>
    </row>
    <row r="15">
      <c r="A15" s="2" t="inlineStr"/>
      <c r="B15" s="2" t="inlineStr">
        <is>
          <t>LCP data can't tell which. Apply the tech_split sheet to TOTAL substitutable fuel.</t>
        </is>
      </c>
    </row>
    <row r="16">
      <c r="A16" s="2" t="inlineStr"/>
      <c r="B16" s="2" t="inlineStr">
        <is>
          <t>Split fractions per activity MUST sum to 1.0.</t>
        </is>
      </c>
    </row>
    <row r="17">
      <c r="A17" s="2" t="inlineStr">
        <is>
          <t xml:space="preserve">  fuel_routing</t>
        </is>
      </c>
      <c r="B17" s="2" t="inlineStr">
        <is>
          <t>Fuel-determined activities (iron&amp;steel, waste, metals). IED Art 28 has already</t>
        </is>
      </c>
    </row>
    <row r="18">
      <c r="A18" s="2" t="inlineStr"/>
      <c r="B18" s="2" t="inlineStr">
        <is>
          <t>stripped out the direct-heating units, so each remaining fuel maps to one tech.</t>
        </is>
      </c>
    </row>
    <row r="19">
      <c r="A19" s="2" t="inlineStr"/>
      <c r="B19" s="2" t="inlineStr">
        <is>
          <t>Uses the fuel_routing sheet; the split is the per-facility fuel mix itself.</t>
        </is>
      </c>
    </row>
    <row r="20">
      <c r="A20" s="2" t="inlineStr"/>
      <c r="B20" s="2" t="inlineStr"/>
    </row>
    <row r="21">
      <c r="A21" s="6" t="inlineStr">
        <is>
          <t>epsilon</t>
        </is>
      </c>
      <c r="B21" s="2" t="inlineStr">
        <is>
          <t>Useful heat delivered / fuel energy input for that technology.</t>
        </is>
      </c>
    </row>
    <row r="22">
      <c r="A22" s="6" t="inlineStr">
        <is>
          <t>temp columns</t>
        </is>
      </c>
      <c r="B22" s="2" t="inlineStr">
        <is>
          <t>min/max delivery temperature — used to flag which heat-battery class can serve it.</t>
        </is>
      </c>
    </row>
    <row r="23">
      <c r="A23" s="2" t="inlineStr"/>
      <c r="B23" s="2" t="inlineStr">
        <is>
          <t>If your battery reaches &gt;1100C, all rows are replaceable; otherwise filter by max_temp_C.</t>
        </is>
      </c>
    </row>
    <row r="24">
      <c r="A24" s="2" t="inlineStr"/>
      <c r="B24" s="2" t="inlineStr"/>
    </row>
    <row r="25">
      <c r="A25" s="6" t="inlineStr">
        <is>
          <t>Blue cells</t>
        </is>
      </c>
      <c r="B25" s="2" t="inlineStr">
        <is>
          <t>Editable assumptions. Black = labels. Grey = source notes.</t>
        </is>
      </c>
    </row>
    <row r="26">
      <c r="A26" s="2" t="inlineStr"/>
      <c r="B26" s="2" t="inlineStr"/>
    </row>
    <row r="27">
      <c r="A27" s="6" t="inlineStr">
        <is>
          <t>IMPORTANT caveat</t>
        </is>
      </c>
      <c r="B27" s="2" t="inlineStr">
        <is>
          <t>The 4(a)/4(b)/4(c) tech_split fractions are ASSUMPTIONS, not from any BREF.</t>
        </is>
      </c>
    </row>
    <row r="28">
      <c r="A28" s="2" t="inlineStr"/>
      <c r="B28" s="2" t="inlineStr">
        <is>
          <t>The LVOC BREF 2017 gives no sector-wide technology split. Treat these as adjustable.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2026-06-17T19:28:01Z</dcterms:created>
  <dcterms:modified xmlns:dcterms="http://purl.org/dc/terms/" xmlns:xsi="http://www.w3.org/2001/XMLSchema-instance" xsi:type="dcterms:W3CDTF">2026-06-17T19:28:01Z</dcterms:modified>
</cp:coreProperties>
</file>